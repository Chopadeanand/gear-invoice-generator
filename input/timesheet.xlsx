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Attendance\"/>
    </mc:Choice>
  </mc:AlternateContent>
  <xr:revisionPtr revIDLastSave="0" documentId="8_{64C992B8-6192-4327-8897-E437863975E7}" xr6:coauthVersionLast="47" xr6:coauthVersionMax="47" xr10:uidLastSave="{00000000-0000-0000-0000-000000000000}"/>
  <bookViews>
    <workbookView xWindow="-108" yWindow="-108" windowWidth="23256" windowHeight="12456" xr2:uid="{2E71603A-F618-4743-99F5-878998096BAB}"/>
  </bookViews>
  <sheets>
    <sheet name="Time Sheet" sheetId="1" r:id="rId1"/>
  </sheets>
  <externalReferences>
    <externalReference r:id="rId2"/>
  </externalReferences>
  <definedNames>
    <definedName name="_xlnm._FilterDatabase" localSheetId="0" hidden="1">'Time Sheet'!$A$3:$BF$69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56" i="1" l="1"/>
  <c r="AW57" i="1" s="1"/>
  <c r="AL56" i="1"/>
  <c r="BE56" i="1" s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Y55" i="1"/>
  <c r="AY57" i="1" s="1"/>
  <c r="AL55" i="1"/>
  <c r="BE55" i="1" s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AF55" i="1" s="1"/>
  <c r="G55" i="1"/>
  <c r="F55" i="1"/>
  <c r="E55" i="1"/>
  <c r="D55" i="1"/>
  <c r="C55" i="1"/>
  <c r="B55" i="1"/>
  <c r="AF54" i="1"/>
  <c r="AE54" i="1"/>
  <c r="AN54" i="1" s="1"/>
  <c r="AN57" i="1" s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F53" i="1"/>
  <c r="AE53" i="1"/>
  <c r="AV53" i="1" s="1"/>
  <c r="AV57" i="1" s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AF52" i="1" s="1"/>
  <c r="BD52" i="1" s="1"/>
  <c r="BE52" i="1" s="1"/>
  <c r="B52" i="1"/>
  <c r="AF51" i="1"/>
  <c r="AE51" i="1"/>
  <c r="BD51" i="1" s="1"/>
  <c r="BE51" i="1" s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AF50" i="1" s="1"/>
  <c r="BD50" i="1" s="1"/>
  <c r="BE50" i="1" s="1"/>
  <c r="D50" i="1"/>
  <c r="C50" i="1"/>
  <c r="B50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AF49" i="1" s="1"/>
  <c r="C49" i="1"/>
  <c r="B49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AF48" i="1" s="1"/>
  <c r="BD48" i="1" s="1"/>
  <c r="BE48" i="1" s="1"/>
  <c r="B48" i="1"/>
  <c r="AE47" i="1"/>
  <c r="BD47" i="1" s="1"/>
  <c r="BE47" i="1" s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AF47" i="1" s="1"/>
  <c r="G47" i="1"/>
  <c r="F47" i="1"/>
  <c r="E47" i="1"/>
  <c r="D47" i="1"/>
  <c r="C47" i="1"/>
  <c r="B47" i="1"/>
  <c r="AL46" i="1"/>
  <c r="AG46" i="1"/>
  <c r="AG57" i="1" s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AF46" i="1" s="1"/>
  <c r="E46" i="1"/>
  <c r="D46" i="1"/>
  <c r="C46" i="1"/>
  <c r="B46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AF45" i="1" s="1"/>
  <c r="B45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AF44" i="1" s="1"/>
  <c r="BD44" i="1" s="1"/>
  <c r="BE44" i="1" s="1"/>
  <c r="B44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AF43" i="1" s="1"/>
  <c r="BD43" i="1" s="1"/>
  <c r="BE43" i="1" s="1"/>
  <c r="B43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AF42" i="1" s="1"/>
  <c r="BD42" i="1" s="1"/>
  <c r="BE42" i="1" s="1"/>
  <c r="E42" i="1"/>
  <c r="D42" i="1"/>
  <c r="C42" i="1"/>
  <c r="B42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AF41" i="1" s="1"/>
  <c r="B41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AF40" i="1" s="1"/>
  <c r="BD40" i="1" s="1"/>
  <c r="BE40" i="1" s="1"/>
  <c r="B40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AF39" i="1" s="1"/>
  <c r="BD39" i="1" s="1"/>
  <c r="BE39" i="1" s="1"/>
  <c r="B39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AF38" i="1" s="1"/>
  <c r="BD38" i="1" s="1"/>
  <c r="BE38" i="1" s="1"/>
  <c r="E38" i="1"/>
  <c r="D38" i="1"/>
  <c r="C38" i="1"/>
  <c r="B38" i="1"/>
  <c r="AE37" i="1"/>
  <c r="AS37" i="1" s="1"/>
  <c r="AS57" i="1" s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AF37" i="1" s="1"/>
  <c r="C37" i="1"/>
  <c r="B37" i="1"/>
  <c r="AE36" i="1"/>
  <c r="BD36" i="1" s="1"/>
  <c r="BE36" i="1" s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AF36" i="1" s="1"/>
  <c r="B36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F35" i="1" s="1"/>
  <c r="BD35" i="1" s="1"/>
  <c r="BE35" i="1" s="1"/>
  <c r="B35" i="1"/>
  <c r="AE34" i="1"/>
  <c r="AJ34" i="1" s="1"/>
  <c r="BE34" i="1" s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F34" i="1" s="1"/>
  <c r="B34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AF33" i="1" s="1"/>
  <c r="C33" i="1"/>
  <c r="B33" i="1"/>
  <c r="AE32" i="1"/>
  <c r="BD32" i="1" s="1"/>
  <c r="BE32" i="1" s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F32" i="1" s="1"/>
  <c r="B32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F31" i="1" s="1"/>
  <c r="BD31" i="1" s="1"/>
  <c r="BE31" i="1" s="1"/>
  <c r="B31" i="1"/>
  <c r="AE30" i="1"/>
  <c r="BD30" i="1" s="1"/>
  <c r="BE30" i="1" s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F30" i="1" s="1"/>
  <c r="B30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AF29" i="1" s="1"/>
  <c r="C29" i="1"/>
  <c r="B29" i="1"/>
  <c r="BA28" i="1"/>
  <c r="BA57" i="1" s="1"/>
  <c r="AE28" i="1"/>
  <c r="AX28" i="1" s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F28" i="1" s="1"/>
  <c r="C28" i="1"/>
  <c r="B28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F27" i="1" s="1"/>
  <c r="B27" i="1"/>
  <c r="AF26" i="1"/>
  <c r="AE26" i="1"/>
  <c r="BD26" i="1" s="1"/>
  <c r="BE26" i="1" s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AF25" i="1" s="1"/>
  <c r="BD25" i="1" s="1"/>
  <c r="BE25" i="1" s="1"/>
  <c r="D25" i="1"/>
  <c r="C25" i="1"/>
  <c r="B25" i="1"/>
  <c r="AE24" i="1"/>
  <c r="BC24" i="1" s="1"/>
  <c r="BE24" i="1" s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F24" i="1" s="1"/>
  <c r="C24" i="1"/>
  <c r="B24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F23" i="1" s="1"/>
  <c r="B23" i="1"/>
  <c r="AL22" i="1"/>
  <c r="AE22" i="1"/>
  <c r="AO22" i="1" s="1"/>
  <c r="AO57" i="1" s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AF22" i="1" s="1"/>
  <c r="B22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AF21" i="1" s="1"/>
  <c r="AM21" i="1" s="1"/>
  <c r="E21" i="1"/>
  <c r="D21" i="1"/>
  <c r="C21" i="1"/>
  <c r="B21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F20" i="1" s="1"/>
  <c r="B20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F19" i="1" s="1"/>
  <c r="BC19" i="1" s="1"/>
  <c r="BE19" i="1" s="1"/>
  <c r="B19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AF18" i="1" s="1"/>
  <c r="BC18" i="1" s="1"/>
  <c r="BE18" i="1" s="1"/>
  <c r="B18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AF17" i="1" s="1"/>
  <c r="BC17" i="1" s="1"/>
  <c r="BE17" i="1" s="1"/>
  <c r="E17" i="1"/>
  <c r="D17" i="1"/>
  <c r="C17" i="1"/>
  <c r="B17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F16" i="1" s="1"/>
  <c r="B16" i="1"/>
  <c r="AE15" i="1"/>
  <c r="AZ15" i="1" s="1"/>
  <c r="AZ57" i="1" s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F15" i="1" s="1"/>
  <c r="B15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AF14" i="1" s="1"/>
  <c r="BB14" i="1" s="1"/>
  <c r="G14" i="1"/>
  <c r="F14" i="1"/>
  <c r="E14" i="1"/>
  <c r="D14" i="1"/>
  <c r="C14" i="1"/>
  <c r="B14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AF13" i="1" s="1"/>
  <c r="B13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F12" i="1" s="1"/>
  <c r="C12" i="1"/>
  <c r="B12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F11" i="1" s="1"/>
  <c r="B11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AF10" i="1" s="1"/>
  <c r="BC10" i="1" s="1"/>
  <c r="BE10" i="1" s="1"/>
  <c r="G10" i="1"/>
  <c r="F10" i="1"/>
  <c r="E10" i="1"/>
  <c r="D10" i="1"/>
  <c r="C10" i="1"/>
  <c r="B10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F9" i="1" s="1"/>
  <c r="B9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F8" i="1" s="1"/>
  <c r="C8" i="1"/>
  <c r="B8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F7" i="1" s="1"/>
  <c r="B7" i="1"/>
  <c r="BE6" i="1"/>
  <c r="AT6" i="1"/>
  <c r="AT57" i="1" s="1"/>
  <c r="AI6" i="1"/>
  <c r="AI57" i="1" s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AF6" i="1" s="1"/>
  <c r="B6" i="1"/>
  <c r="AF5" i="1"/>
  <c r="AE5" i="1"/>
  <c r="BC5" i="1" s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AF4" i="1" s="1"/>
  <c r="AJ4" i="1" s="1"/>
  <c r="D4" i="1"/>
  <c r="C4" i="1"/>
  <c r="B4" i="1"/>
  <c r="AA3" i="1"/>
  <c r="V3" i="1"/>
  <c r="U3" i="1"/>
  <c r="T3" i="1"/>
  <c r="O3" i="1"/>
  <c r="J3" i="1"/>
  <c r="I3" i="1"/>
  <c r="H3" i="1"/>
  <c r="C3" i="1"/>
  <c r="AD2" i="1"/>
  <c r="AD3" i="1" s="1"/>
  <c r="AC2" i="1"/>
  <c r="AC3" i="1" s="1"/>
  <c r="AB2" i="1"/>
  <c r="AB3" i="1" s="1"/>
  <c r="AA2" i="1"/>
  <c r="Z2" i="1"/>
  <c r="Z3" i="1" s="1"/>
  <c r="Y2" i="1"/>
  <c r="Y3" i="1" s="1"/>
  <c r="X2" i="1"/>
  <c r="X3" i="1" s="1"/>
  <c r="W2" i="1"/>
  <c r="W3" i="1" s="1"/>
  <c r="V2" i="1"/>
  <c r="U2" i="1"/>
  <c r="T2" i="1"/>
  <c r="S2" i="1"/>
  <c r="S3" i="1" s="1"/>
  <c r="R2" i="1"/>
  <c r="R3" i="1" s="1"/>
  <c r="Q2" i="1"/>
  <c r="Q3" i="1" s="1"/>
  <c r="P2" i="1"/>
  <c r="P3" i="1" s="1"/>
  <c r="O2" i="1"/>
  <c r="N2" i="1"/>
  <c r="N3" i="1" s="1"/>
  <c r="M2" i="1"/>
  <c r="M3" i="1" s="1"/>
  <c r="L2" i="1"/>
  <c r="L3" i="1" s="1"/>
  <c r="K2" i="1"/>
  <c r="K3" i="1" s="1"/>
  <c r="J2" i="1"/>
  <c r="I2" i="1"/>
  <c r="H2" i="1"/>
  <c r="G2" i="1"/>
  <c r="G3" i="1" s="1"/>
  <c r="F2" i="1"/>
  <c r="F3" i="1" s="1"/>
  <c r="E2" i="1"/>
  <c r="E3" i="1" s="1"/>
  <c r="D2" i="1"/>
  <c r="D3" i="1" s="1"/>
  <c r="C2" i="1"/>
  <c r="AP11" i="1" l="1"/>
  <c r="AX57" i="1"/>
  <c r="BE28" i="1"/>
  <c r="BE21" i="1"/>
  <c r="AM57" i="1"/>
  <c r="BD27" i="1"/>
  <c r="BE27" i="1" s="1"/>
  <c r="AH29" i="1"/>
  <c r="BD33" i="1"/>
  <c r="BE33" i="1" s="1"/>
  <c r="BD41" i="1"/>
  <c r="BE41" i="1" s="1"/>
  <c r="BD45" i="1"/>
  <c r="BE45" i="1" s="1"/>
  <c r="BD23" i="1"/>
  <c r="BE23" i="1" s="1"/>
  <c r="BD49" i="1"/>
  <c r="BE49" i="1" s="1"/>
  <c r="BE5" i="1"/>
  <c r="BE4" i="1"/>
  <c r="AJ8" i="1"/>
  <c r="BE8" i="1" s="1"/>
  <c r="BC12" i="1"/>
  <c r="BE12" i="1" s="1"/>
  <c r="BC16" i="1"/>
  <c r="BE16" i="1" s="1"/>
  <c r="BD20" i="1"/>
  <c r="AU7" i="1"/>
  <c r="AU9" i="1"/>
  <c r="BE9" i="1" s="1"/>
  <c r="AK13" i="1"/>
  <c r="BE14" i="1"/>
  <c r="BB57" i="1"/>
  <c r="BE22" i="1"/>
  <c r="AQ37" i="1"/>
  <c r="BE46" i="1"/>
  <c r="AL54" i="1"/>
  <c r="BE54" i="1" s="1"/>
  <c r="AL53" i="1"/>
  <c r="BE53" i="1" s="1"/>
  <c r="AR15" i="1"/>
  <c r="AL57" i="1"/>
  <c r="BD57" i="1" l="1"/>
  <c r="BE20" i="1"/>
  <c r="AR57" i="1"/>
  <c r="BE15" i="1"/>
  <c r="AJ57" i="1"/>
  <c r="BE13" i="1"/>
  <c r="AK57" i="1"/>
  <c r="BE7" i="1"/>
  <c r="AU57" i="1"/>
  <c r="BE29" i="1"/>
  <c r="AH57" i="1"/>
  <c r="AQ57" i="1"/>
  <c r="BE37" i="1"/>
  <c r="BC57" i="1"/>
  <c r="AP57" i="1"/>
  <c r="BE11" i="1"/>
  <c r="BE57" i="1" s="1"/>
</calcChain>
</file>

<file path=xl/sharedStrings.xml><?xml version="1.0" encoding="utf-8"?>
<sst xmlns="http://schemas.openxmlformats.org/spreadsheetml/2006/main" count="28" uniqueCount="28">
  <si>
    <t>TIME SHEET FEBRUARY 2026</t>
  </si>
  <si>
    <t>APEL-SSA-TAR-ATA-HIRATE-MC-199</t>
  </si>
  <si>
    <t>BFHL-SSA-TAR-ATA-HIRATE-MC-210</t>
  </si>
  <si>
    <t>BWHPL-SSA-TAR-ATA-HIRATE-MC-340</t>
  </si>
  <si>
    <t>DATL-SSA-TAR-ATA-HIRATE-MC-198</t>
  </si>
  <si>
    <t>FRHL-SSA-TAR-ATA-HIRATE-MC-197</t>
  </si>
  <si>
    <t>GAPEL-SSA-TAR-ATA-HIRATE-MC-200</t>
  </si>
  <si>
    <t>JMTL-SSA-TAR-ATA-HIRATE-MC-194</t>
  </si>
  <si>
    <t>KETL-SSA-TAR-ATA-HIRATE-MC-196</t>
  </si>
  <si>
    <t>KMTL-SSA-TAR-ATA-HIRATE-MC-195</t>
  </si>
  <si>
    <t>KTIPL-SSA-TAR-ATA-HIRATE-MC-348</t>
  </si>
  <si>
    <t>MBEL-SSA-TAR-ATA-HIRATE-MC-192</t>
  </si>
  <si>
    <t>MHPL-SSA-TAR-ATA-HIRATE-MC-346</t>
  </si>
  <si>
    <t>MKTL-SSA-TAR-ATA-HIRATE-MC-191</t>
  </si>
  <si>
    <t>MSHPL-SSA-TAR-ATA-HIRATE-MC-343</t>
  </si>
  <si>
    <t>NAMEL-SSA-TAR-ATA-HIRATE-MC-400</t>
  </si>
  <si>
    <t>NDEPL-SSA-TAR-ATA-HIRATE-MC-190</t>
  </si>
  <si>
    <t>NKTL-SSA-TAR-ATA-HIRATE-MC-189</t>
  </si>
  <si>
    <t>SIPL-SSA-TAR-ATA-HIRATE-MC-350</t>
  </si>
  <si>
    <t>SMTL-SSA-TAR-ATA-HIRATE-MC-188</t>
  </si>
  <si>
    <t>SPPL-SSA-TAR-ATA-HIRATE-MC-352</t>
  </si>
  <si>
    <t>WVEPL-SSA-TAR-ATA-HIRATE-MC-193</t>
  </si>
  <si>
    <t>WUPTL-SSA-TAR-ATA-HIRATE-MC-187</t>
  </si>
  <si>
    <t>FRHL-SSA-TAR-ASA-E. NSV ANALYSIS-MC-147</t>
  </si>
  <si>
    <t>LIGHTSTORM-SSA-ATMS-INST-LGS-01-MC-472</t>
  </si>
  <si>
    <t>PAY</t>
  </si>
  <si>
    <t>S.No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</si>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</sst>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9" x14ac:knownFonts="1">
    <font>
      <sz val="11"/>
      <color theme="1"/>
      <name val="Calibri"/>
      <family val="2"/>
      <scheme val="minor"/>
    </font>
    <font>
      <b/>
      <sz val="16"/>
      <color theme="1"/>
      <name val="Perpetua"/>
      <family val="1"/>
    </font>
    <font>
      <b/>
      <sz val="14"/>
      <color theme="1"/>
      <name val="Perpetua"/>
      <family val="1"/>
    </font>
    <font>
      <sz val="11"/>
      <color rgb="FFFF0000"/>
      <name val="Perpetua"/>
      <family val="1"/>
    </font>
    <font>
      <sz val="14"/>
      <color rgb="FFFF0000"/>
      <name val="Perpetua"/>
      <family val="1"/>
    </font>
    <font>
      <b/>
      <sz val="11"/>
      <color theme="1"/>
      <name val="Perpetua"/>
      <family val="1"/>
    </font>
    <font>
      <sz val="11"/>
      <color theme="1"/>
      <name val="Perpetua"/>
      <family val="1"/>
    </font>
    <font>
      <b/>
      <sz val="11"/>
      <color rgb="FF1F1F1F"/>
      <name val="Perpetua"/>
      <family val="1"/>
    </font>
    <font>
      <sz val="11"/>
      <color rgb="FF1F1F1F"/>
      <name val="Perpetu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164" fontId="5" fillId="4" borderId="6" xfId="0" applyNumberFormat="1" applyFont="1" applyFill="1" applyBorder="1"/>
    <xf numFmtId="164" fontId="5" fillId="4" borderId="0" xfId="0" applyNumberFormat="1" applyFont="1" applyFill="1"/>
    <xf numFmtId="0" fontId="5" fillId="4" borderId="7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164" fontId="5" fillId="4" borderId="9" xfId="0" applyNumberFormat="1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7" fillId="0" borderId="11" xfId="0" applyFont="1" applyBorder="1" applyAlignment="1">
      <alignment wrapText="1"/>
    </xf>
    <xf numFmtId="0" fontId="8" fillId="0" borderId="11" xfId="0" applyFont="1" applyBorder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  <xf numFmtId="1" fontId="6" fillId="0" borderId="3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horizontal="center" wrapText="1"/>
    </xf>
  </cellXfs>
  <cellStyles count="1">
    <cellStyle name="Normal" xfId="0" builtinId="0"/>
  </cellStyles>
  <dxfs count="9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\Attendance\February%20Bill%202026.xlsx" TargetMode="External"/><Relationship Id="rId1" Type="http://schemas.openxmlformats.org/officeDocument/2006/relationships/externalLinkPath" Target="February%20Bill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ttendance"/>
      <sheetName val="Pay"/>
      <sheetName val="Time Sheet"/>
      <sheetName val="Sheet2"/>
      <sheetName val="Sheet1"/>
    </sheetNames>
    <sheetDataSet>
      <sheetData sheetId="0">
        <row r="2">
          <cell r="C2">
            <v>46054</v>
          </cell>
          <cell r="D2">
            <v>46055</v>
          </cell>
          <cell r="E2">
            <v>46056</v>
          </cell>
          <cell r="F2">
            <v>46057</v>
          </cell>
          <cell r="G2">
            <v>46058</v>
          </cell>
          <cell r="H2">
            <v>46059</v>
          </cell>
          <cell r="I2">
            <v>46060</v>
          </cell>
          <cell r="J2">
            <v>46061</v>
          </cell>
          <cell r="K2">
            <v>46062</v>
          </cell>
          <cell r="L2">
            <v>46063</v>
          </cell>
          <cell r="M2">
            <v>46064</v>
          </cell>
          <cell r="N2">
            <v>46065</v>
          </cell>
          <cell r="O2">
            <v>46066</v>
          </cell>
          <cell r="P2">
            <v>46067</v>
          </cell>
          <cell r="Q2">
            <v>46068</v>
          </cell>
          <cell r="R2">
            <v>46069</v>
          </cell>
          <cell r="S2">
            <v>46070</v>
          </cell>
          <cell r="T2">
            <v>46071</v>
          </cell>
          <cell r="U2">
            <v>46072</v>
          </cell>
          <cell r="V2">
            <v>46073</v>
          </cell>
          <cell r="W2">
            <v>46074</v>
          </cell>
          <cell r="X2">
            <v>46075</v>
          </cell>
          <cell r="Y2">
            <v>46076</v>
          </cell>
          <cell r="Z2">
            <v>46077</v>
          </cell>
          <cell r="AA2">
            <v>46078</v>
          </cell>
          <cell r="AB2">
            <v>46079</v>
          </cell>
          <cell r="AC2">
            <v>46080</v>
          </cell>
          <cell r="AD2">
            <v>46081</v>
          </cell>
        </row>
        <row r="4">
          <cell r="B4" t="str">
            <v>Ahmed Azam</v>
          </cell>
          <cell r="C4" t="str">
            <v>H</v>
          </cell>
          <cell r="D4" t="str">
            <v>P</v>
          </cell>
          <cell r="E4" t="str">
            <v>L</v>
          </cell>
          <cell r="F4" t="str">
            <v>L</v>
          </cell>
          <cell r="G4" t="str">
            <v>p</v>
          </cell>
          <cell r="H4" t="str">
            <v>p</v>
          </cell>
          <cell r="I4" t="str">
            <v>p</v>
          </cell>
          <cell r="J4" t="str">
            <v>H</v>
          </cell>
          <cell r="K4" t="str">
            <v>P</v>
          </cell>
          <cell r="L4" t="str">
            <v>P</v>
          </cell>
          <cell r="M4" t="str">
            <v>L</v>
          </cell>
          <cell r="N4" t="str">
            <v>P</v>
          </cell>
          <cell r="O4" t="str">
            <v>P</v>
          </cell>
          <cell r="P4" t="str">
            <v>L</v>
          </cell>
          <cell r="Q4" t="str">
            <v>H</v>
          </cell>
          <cell r="R4" t="str">
            <v>L</v>
          </cell>
          <cell r="S4" t="str">
            <v>P</v>
          </cell>
          <cell r="T4" t="str">
            <v>L</v>
          </cell>
          <cell r="U4" t="str">
            <v>P</v>
          </cell>
          <cell r="V4" t="str">
            <v>P</v>
          </cell>
          <cell r="W4" t="str">
            <v>P</v>
          </cell>
          <cell r="X4" t="str">
            <v>H</v>
          </cell>
          <cell r="Y4" t="str">
            <v>P</v>
          </cell>
          <cell r="Z4" t="str">
            <v>P</v>
          </cell>
          <cell r="AA4" t="str">
            <v>P</v>
          </cell>
          <cell r="AB4" t="str">
            <v>P</v>
          </cell>
          <cell r="AC4" t="str">
            <v>P</v>
          </cell>
          <cell r="AD4" t="str">
            <v>P</v>
          </cell>
          <cell r="AH4">
            <v>22</v>
          </cell>
          <cell r="AI4">
            <v>12964</v>
          </cell>
        </row>
        <row r="5">
          <cell r="B5" t="str">
            <v>Anand Ganesh Chopade</v>
          </cell>
          <cell r="C5" t="str">
            <v>H</v>
          </cell>
          <cell r="D5" t="str">
            <v>P</v>
          </cell>
          <cell r="E5" t="str">
            <v>P</v>
          </cell>
          <cell r="F5" t="str">
            <v>P</v>
          </cell>
          <cell r="G5" t="str">
            <v>p</v>
          </cell>
          <cell r="H5" t="str">
            <v>p</v>
          </cell>
          <cell r="I5" t="str">
            <v>p</v>
          </cell>
          <cell r="J5" t="str">
            <v>H</v>
          </cell>
          <cell r="K5" t="str">
            <v>P</v>
          </cell>
          <cell r="L5" t="str">
            <v>P</v>
          </cell>
          <cell r="M5" t="str">
            <v>P</v>
          </cell>
          <cell r="N5" t="str">
            <v>P</v>
          </cell>
          <cell r="O5" t="str">
            <v>P</v>
          </cell>
          <cell r="P5" t="str">
            <v>P</v>
          </cell>
          <cell r="Q5" t="str">
            <v>H</v>
          </cell>
          <cell r="R5" t="str">
            <v>P</v>
          </cell>
          <cell r="S5" t="str">
            <v>P</v>
          </cell>
          <cell r="T5" t="str">
            <v>P</v>
          </cell>
          <cell r="U5" t="str">
            <v>P</v>
          </cell>
          <cell r="V5" t="str">
            <v>P</v>
          </cell>
          <cell r="W5" t="str">
            <v>P</v>
          </cell>
          <cell r="X5" t="str">
            <v>H</v>
          </cell>
          <cell r="Y5" t="str">
            <v>P</v>
          </cell>
          <cell r="Z5" t="str">
            <v>P</v>
          </cell>
          <cell r="AA5" t="str">
            <v>P</v>
          </cell>
          <cell r="AB5" t="str">
            <v>P</v>
          </cell>
          <cell r="AC5" t="str">
            <v>P</v>
          </cell>
          <cell r="AD5" t="str">
            <v>P</v>
          </cell>
          <cell r="AH5">
            <v>28</v>
          </cell>
          <cell r="AI5">
            <v>16500</v>
          </cell>
        </row>
        <row r="6">
          <cell r="B6" t="str">
            <v>Arundathi Jalagam</v>
          </cell>
          <cell r="C6" t="str">
            <v>H</v>
          </cell>
          <cell r="D6" t="str">
            <v>P</v>
          </cell>
          <cell r="E6" t="str">
            <v>P</v>
          </cell>
          <cell r="F6" t="str">
            <v>P</v>
          </cell>
          <cell r="G6" t="str">
            <v>p</v>
          </cell>
          <cell r="H6" t="str">
            <v>p</v>
          </cell>
          <cell r="I6" t="str">
            <v>p</v>
          </cell>
          <cell r="J6" t="str">
            <v>H</v>
          </cell>
          <cell r="K6" t="str">
            <v>P</v>
          </cell>
          <cell r="L6" t="str">
            <v>P</v>
          </cell>
          <cell r="M6" t="str">
            <v>P</v>
          </cell>
          <cell r="N6" t="str">
            <v>P</v>
          </cell>
          <cell r="O6" t="str">
            <v>P</v>
          </cell>
          <cell r="P6" t="str">
            <v>P</v>
          </cell>
          <cell r="Q6" t="str">
            <v>H</v>
          </cell>
          <cell r="R6" t="str">
            <v>L</v>
          </cell>
          <cell r="S6" t="str">
            <v>P</v>
          </cell>
          <cell r="T6" t="str">
            <v>P</v>
          </cell>
          <cell r="U6" t="str">
            <v>P</v>
          </cell>
          <cell r="V6" t="str">
            <v>P</v>
          </cell>
          <cell r="W6" t="str">
            <v>P</v>
          </cell>
          <cell r="X6" t="str">
            <v>H</v>
          </cell>
          <cell r="Y6" t="str">
            <v>P</v>
          </cell>
          <cell r="Z6" t="str">
            <v>P</v>
          </cell>
          <cell r="AA6" t="str">
            <v>P</v>
          </cell>
          <cell r="AB6" t="str">
            <v>P</v>
          </cell>
          <cell r="AC6" t="str">
            <v>P</v>
          </cell>
          <cell r="AD6" t="str">
            <v>P</v>
          </cell>
          <cell r="AH6">
            <v>27</v>
          </cell>
          <cell r="AI6">
            <v>15911</v>
          </cell>
        </row>
        <row r="7">
          <cell r="B7" t="str">
            <v>Bonagiri Rehana</v>
          </cell>
          <cell r="C7" t="str">
            <v>H</v>
          </cell>
          <cell r="D7" t="str">
            <v>P</v>
          </cell>
          <cell r="E7" t="str">
            <v>P</v>
          </cell>
          <cell r="F7" t="str">
            <v>P</v>
          </cell>
          <cell r="G7" t="str">
            <v>P</v>
          </cell>
          <cell r="H7" t="str">
            <v>P</v>
          </cell>
          <cell r="I7" t="str">
            <v>P</v>
          </cell>
          <cell r="J7" t="str">
            <v>H</v>
          </cell>
          <cell r="K7" t="str">
            <v>P</v>
          </cell>
          <cell r="L7" t="str">
            <v>P</v>
          </cell>
          <cell r="M7" t="str">
            <v>P</v>
          </cell>
          <cell r="N7" t="str">
            <v>P</v>
          </cell>
          <cell r="O7" t="str">
            <v>P</v>
          </cell>
          <cell r="P7" t="str">
            <v>P</v>
          </cell>
          <cell r="Q7" t="str">
            <v>H</v>
          </cell>
          <cell r="R7" t="str">
            <v>L</v>
          </cell>
          <cell r="S7" t="str">
            <v>P</v>
          </cell>
          <cell r="T7" t="str">
            <v>P</v>
          </cell>
          <cell r="U7" t="str">
            <v>P</v>
          </cell>
          <cell r="V7" t="str">
            <v>P</v>
          </cell>
          <cell r="W7" t="str">
            <v>P</v>
          </cell>
          <cell r="X7" t="str">
            <v>H</v>
          </cell>
          <cell r="Y7" t="str">
            <v>P</v>
          </cell>
          <cell r="Z7" t="str">
            <v>P</v>
          </cell>
          <cell r="AA7" t="str">
            <v>P</v>
          </cell>
          <cell r="AB7" t="str">
            <v>P</v>
          </cell>
          <cell r="AC7" t="str">
            <v>P</v>
          </cell>
          <cell r="AD7" t="str">
            <v>P</v>
          </cell>
          <cell r="AH7">
            <v>27</v>
          </cell>
          <cell r="AI7">
            <v>15911</v>
          </cell>
        </row>
        <row r="8">
          <cell r="B8" t="str">
            <v>Chouta Keerthana</v>
          </cell>
          <cell r="C8" t="str">
            <v>H</v>
          </cell>
          <cell r="D8" t="str">
            <v>P</v>
          </cell>
          <cell r="E8" t="str">
            <v>P</v>
          </cell>
          <cell r="F8" t="str">
            <v>P</v>
          </cell>
          <cell r="G8" t="str">
            <v>P</v>
          </cell>
          <cell r="H8" t="str">
            <v>P</v>
          </cell>
          <cell r="I8" t="str">
            <v>P</v>
          </cell>
          <cell r="J8" t="str">
            <v>H</v>
          </cell>
          <cell r="K8" t="str">
            <v>L</v>
          </cell>
          <cell r="L8" t="str">
            <v>P</v>
          </cell>
          <cell r="M8" t="str">
            <v>P</v>
          </cell>
          <cell r="N8" t="str">
            <v>L</v>
          </cell>
          <cell r="O8" t="str">
            <v>L</v>
          </cell>
          <cell r="P8" t="str">
            <v>L</v>
          </cell>
          <cell r="Q8" t="str">
            <v>H</v>
          </cell>
          <cell r="R8" t="str">
            <v>P</v>
          </cell>
          <cell r="S8" t="str">
            <v>P</v>
          </cell>
          <cell r="T8" t="str">
            <v>L</v>
          </cell>
          <cell r="U8" t="str">
            <v>P</v>
          </cell>
          <cell r="V8" t="str">
            <v>P</v>
          </cell>
          <cell r="W8" t="str">
            <v>P</v>
          </cell>
          <cell r="X8" t="str">
            <v>H</v>
          </cell>
          <cell r="Y8" t="str">
            <v>P</v>
          </cell>
          <cell r="Z8" t="str">
            <v>P</v>
          </cell>
          <cell r="AA8" t="str">
            <v>P</v>
          </cell>
          <cell r="AB8" t="str">
            <v>P</v>
          </cell>
          <cell r="AC8" t="str">
            <v>P</v>
          </cell>
          <cell r="AD8" t="str">
            <v>P</v>
          </cell>
          <cell r="AH8">
            <v>23</v>
          </cell>
          <cell r="AI8">
            <v>13554</v>
          </cell>
        </row>
        <row r="9">
          <cell r="B9" t="str">
            <v>Deshapaga Raghavendar</v>
          </cell>
          <cell r="C9" t="str">
            <v>H</v>
          </cell>
          <cell r="D9" t="str">
            <v>L</v>
          </cell>
          <cell r="E9" t="str">
            <v>P</v>
          </cell>
          <cell r="F9" t="str">
            <v>P</v>
          </cell>
          <cell r="G9" t="str">
            <v>P</v>
          </cell>
          <cell r="H9" t="str">
            <v>L</v>
          </cell>
          <cell r="I9" t="str">
            <v>P</v>
          </cell>
          <cell r="J9" t="str">
            <v>H</v>
          </cell>
          <cell r="K9" t="str">
            <v>P</v>
          </cell>
          <cell r="L9" t="str">
            <v>P</v>
          </cell>
          <cell r="M9" t="str">
            <v>P</v>
          </cell>
          <cell r="N9" t="str">
            <v>P</v>
          </cell>
          <cell r="O9" t="str">
            <v>P</v>
          </cell>
          <cell r="P9" t="str">
            <v>P</v>
          </cell>
          <cell r="Q9" t="str">
            <v>H</v>
          </cell>
          <cell r="R9" t="str">
            <v>P</v>
          </cell>
          <cell r="S9" t="str">
            <v>P</v>
          </cell>
          <cell r="T9" t="str">
            <v>P</v>
          </cell>
          <cell r="U9" t="str">
            <v>P</v>
          </cell>
          <cell r="V9" t="str">
            <v>P</v>
          </cell>
          <cell r="W9" t="str">
            <v>P</v>
          </cell>
          <cell r="X9" t="str">
            <v>H</v>
          </cell>
          <cell r="Y9" t="str">
            <v>P</v>
          </cell>
          <cell r="Z9" t="str">
            <v>P</v>
          </cell>
          <cell r="AA9" t="str">
            <v>P</v>
          </cell>
          <cell r="AB9" t="str">
            <v>P</v>
          </cell>
          <cell r="AC9" t="str">
            <v>P</v>
          </cell>
          <cell r="AD9" t="str">
            <v>P</v>
          </cell>
          <cell r="AH9">
            <v>26</v>
          </cell>
          <cell r="AI9">
            <v>15321</v>
          </cell>
        </row>
        <row r="10">
          <cell r="B10" t="str">
            <v>Dhenumakonda Lavanya</v>
          </cell>
          <cell r="C10" t="str">
            <v>H</v>
          </cell>
          <cell r="D10" t="str">
            <v>P</v>
          </cell>
          <cell r="E10" t="str">
            <v>P</v>
          </cell>
          <cell r="F10" t="str">
            <v>P</v>
          </cell>
          <cell r="G10" t="str">
            <v>P</v>
          </cell>
          <cell r="H10" t="str">
            <v>P</v>
          </cell>
          <cell r="I10" t="str">
            <v>P</v>
          </cell>
          <cell r="J10" t="str">
            <v>H</v>
          </cell>
          <cell r="K10" t="str">
            <v>P</v>
          </cell>
          <cell r="L10" t="str">
            <v>P</v>
          </cell>
          <cell r="M10" t="str">
            <v>P</v>
          </cell>
          <cell r="N10" t="str">
            <v>P</v>
          </cell>
          <cell r="O10" t="str">
            <v>P</v>
          </cell>
          <cell r="P10" t="str">
            <v>P</v>
          </cell>
          <cell r="Q10" t="str">
            <v>H</v>
          </cell>
          <cell r="R10" t="str">
            <v>P</v>
          </cell>
          <cell r="S10" t="str">
            <v>P</v>
          </cell>
          <cell r="T10" t="str">
            <v>P</v>
          </cell>
          <cell r="U10" t="str">
            <v>P</v>
          </cell>
          <cell r="V10" t="str">
            <v>P</v>
          </cell>
          <cell r="W10" t="str">
            <v>P</v>
          </cell>
          <cell r="X10" t="str">
            <v>H</v>
          </cell>
          <cell r="Y10" t="str">
            <v>P</v>
          </cell>
          <cell r="Z10" t="str">
            <v>P</v>
          </cell>
          <cell r="AA10" t="str">
            <v>P</v>
          </cell>
          <cell r="AB10" t="str">
            <v>P</v>
          </cell>
          <cell r="AC10" t="str">
            <v>P</v>
          </cell>
          <cell r="AD10" t="str">
            <v>P</v>
          </cell>
          <cell r="AH10">
            <v>28</v>
          </cell>
          <cell r="AI10">
            <v>16500</v>
          </cell>
        </row>
        <row r="11">
          <cell r="B11" t="str">
            <v>Diravath Mounika</v>
          </cell>
          <cell r="C11" t="str">
            <v>H</v>
          </cell>
          <cell r="D11" t="str">
            <v>P</v>
          </cell>
          <cell r="E11" t="str">
            <v>L</v>
          </cell>
          <cell r="F11" t="str">
            <v>L</v>
          </cell>
          <cell r="G11" t="str">
            <v>L</v>
          </cell>
          <cell r="H11" t="str">
            <v>L</v>
          </cell>
          <cell r="I11" t="str">
            <v>L</v>
          </cell>
          <cell r="J11" t="str">
            <v>H</v>
          </cell>
          <cell r="K11" t="str">
            <v>P</v>
          </cell>
          <cell r="L11" t="str">
            <v>P</v>
          </cell>
          <cell r="M11" t="str">
            <v>P</v>
          </cell>
          <cell r="N11" t="str">
            <v>P</v>
          </cell>
          <cell r="O11" t="str">
            <v>P</v>
          </cell>
          <cell r="P11" t="str">
            <v>P</v>
          </cell>
          <cell r="Q11" t="str">
            <v>H</v>
          </cell>
          <cell r="R11" t="str">
            <v>P</v>
          </cell>
          <cell r="S11" t="str">
            <v>P</v>
          </cell>
          <cell r="T11" t="str">
            <v>P</v>
          </cell>
          <cell r="U11" t="str">
            <v>P</v>
          </cell>
          <cell r="V11" t="str">
            <v>P</v>
          </cell>
          <cell r="W11" t="str">
            <v>P</v>
          </cell>
          <cell r="X11" t="str">
            <v>H</v>
          </cell>
          <cell r="Y11" t="str">
            <v>P</v>
          </cell>
          <cell r="Z11" t="str">
            <v>P</v>
          </cell>
          <cell r="AA11" t="str">
            <v>P</v>
          </cell>
          <cell r="AB11" t="str">
            <v>P</v>
          </cell>
          <cell r="AC11" t="str">
            <v>P</v>
          </cell>
          <cell r="AD11" t="str">
            <v>P</v>
          </cell>
          <cell r="AH11">
            <v>23</v>
          </cell>
          <cell r="AI11">
            <v>13554</v>
          </cell>
        </row>
        <row r="12">
          <cell r="B12" t="str">
            <v>Gaja Balanarayana</v>
          </cell>
          <cell r="C12" t="str">
            <v>H</v>
          </cell>
          <cell r="D12" t="str">
            <v>P</v>
          </cell>
          <cell r="E12" t="str">
            <v>P</v>
          </cell>
          <cell r="F12" t="str">
            <v>P</v>
          </cell>
          <cell r="G12" t="str">
            <v>P</v>
          </cell>
          <cell r="H12" t="str">
            <v>P</v>
          </cell>
          <cell r="I12" t="str">
            <v>P</v>
          </cell>
          <cell r="J12" t="str">
            <v>H</v>
          </cell>
          <cell r="K12" t="str">
            <v>P</v>
          </cell>
          <cell r="L12" t="str">
            <v>P</v>
          </cell>
          <cell r="M12" t="str">
            <v>P</v>
          </cell>
          <cell r="N12" t="str">
            <v>P</v>
          </cell>
          <cell r="O12" t="str">
            <v>P</v>
          </cell>
          <cell r="P12" t="str">
            <v>P</v>
          </cell>
          <cell r="Q12" t="str">
            <v>H</v>
          </cell>
          <cell r="R12" t="str">
            <v>P</v>
          </cell>
          <cell r="S12" t="str">
            <v>P</v>
          </cell>
          <cell r="T12" t="str">
            <v>P</v>
          </cell>
          <cell r="U12" t="str">
            <v>P</v>
          </cell>
          <cell r="V12" t="str">
            <v>P</v>
          </cell>
          <cell r="W12" t="str">
            <v>P</v>
          </cell>
          <cell r="X12" t="str">
            <v>H</v>
          </cell>
          <cell r="Y12" t="str">
            <v>L</v>
          </cell>
          <cell r="Z12" t="str">
            <v>L</v>
          </cell>
          <cell r="AA12" t="str">
            <v>P</v>
          </cell>
          <cell r="AB12" t="str">
            <v>P</v>
          </cell>
          <cell r="AC12" t="str">
            <v>P</v>
          </cell>
          <cell r="AD12" t="str">
            <v>P</v>
          </cell>
          <cell r="AH12">
            <v>26</v>
          </cell>
          <cell r="AI12">
            <v>15321</v>
          </cell>
        </row>
        <row r="13">
          <cell r="B13" t="str">
            <v>Gopala Saritha</v>
          </cell>
          <cell r="C13" t="str">
            <v>H</v>
          </cell>
          <cell r="D13" t="str">
            <v>P</v>
          </cell>
          <cell r="E13" t="str">
            <v>P</v>
          </cell>
          <cell r="F13" t="str">
            <v>P</v>
          </cell>
          <cell r="G13" t="str">
            <v>P</v>
          </cell>
          <cell r="H13" t="str">
            <v>P</v>
          </cell>
          <cell r="I13" t="str">
            <v>P</v>
          </cell>
          <cell r="J13" t="str">
            <v>H</v>
          </cell>
          <cell r="K13" t="str">
            <v>P</v>
          </cell>
          <cell r="L13" t="str">
            <v>P</v>
          </cell>
          <cell r="M13" t="str">
            <v>P</v>
          </cell>
          <cell r="N13" t="str">
            <v>P</v>
          </cell>
          <cell r="O13" t="str">
            <v>P</v>
          </cell>
          <cell r="P13" t="str">
            <v>P</v>
          </cell>
          <cell r="Q13" t="str">
            <v>H</v>
          </cell>
          <cell r="R13" t="str">
            <v>P</v>
          </cell>
          <cell r="S13" t="str">
            <v>P</v>
          </cell>
          <cell r="T13" t="str">
            <v>P</v>
          </cell>
          <cell r="U13" t="str">
            <v>P</v>
          </cell>
          <cell r="V13" t="str">
            <v>P</v>
          </cell>
          <cell r="W13" t="str">
            <v>P</v>
          </cell>
          <cell r="X13" t="str">
            <v>H</v>
          </cell>
          <cell r="Y13" t="str">
            <v>L</v>
          </cell>
          <cell r="Z13" t="str">
            <v>L</v>
          </cell>
          <cell r="AA13" t="str">
            <v>L</v>
          </cell>
          <cell r="AB13" t="str">
            <v>P</v>
          </cell>
          <cell r="AC13" t="str">
            <v>P</v>
          </cell>
          <cell r="AD13" t="str">
            <v>P</v>
          </cell>
          <cell r="AH13">
            <v>25</v>
          </cell>
          <cell r="AI13">
            <v>14732</v>
          </cell>
        </row>
        <row r="14">
          <cell r="B14" t="str">
            <v>Gudise Hemanth Kumar</v>
          </cell>
          <cell r="C14" t="str">
            <v>H</v>
          </cell>
          <cell r="D14" t="str">
            <v>P</v>
          </cell>
          <cell r="E14" t="str">
            <v>P</v>
          </cell>
          <cell r="F14" t="str">
            <v>P</v>
          </cell>
          <cell r="G14" t="str">
            <v>P</v>
          </cell>
          <cell r="H14" t="str">
            <v>P</v>
          </cell>
          <cell r="I14" t="str">
            <v>P</v>
          </cell>
          <cell r="J14" t="str">
            <v>H</v>
          </cell>
          <cell r="K14" t="str">
            <v>P</v>
          </cell>
          <cell r="L14" t="str">
            <v>P</v>
          </cell>
          <cell r="M14" t="str">
            <v>L</v>
          </cell>
          <cell r="N14" t="str">
            <v>p</v>
          </cell>
          <cell r="O14" t="str">
            <v>p</v>
          </cell>
          <cell r="P14" t="str">
            <v>P</v>
          </cell>
          <cell r="Q14" t="str">
            <v>H</v>
          </cell>
          <cell r="R14" t="str">
            <v>P</v>
          </cell>
          <cell r="S14" t="str">
            <v>L</v>
          </cell>
          <cell r="T14" t="str">
            <v>L</v>
          </cell>
          <cell r="U14" t="str">
            <v>L</v>
          </cell>
          <cell r="V14" t="str">
            <v>L</v>
          </cell>
          <cell r="W14" t="str">
            <v>L</v>
          </cell>
          <cell r="X14" t="str">
            <v>H</v>
          </cell>
          <cell r="Y14" t="str">
            <v>L</v>
          </cell>
          <cell r="Z14" t="str">
            <v>L</v>
          </cell>
          <cell r="AA14" t="str">
            <v>P</v>
          </cell>
          <cell r="AB14" t="str">
            <v>P</v>
          </cell>
          <cell r="AC14" t="str">
            <v>L</v>
          </cell>
          <cell r="AD14" t="str">
            <v>P</v>
          </cell>
          <cell r="AH14">
            <v>19</v>
          </cell>
          <cell r="AI14">
            <v>11196</v>
          </cell>
        </row>
        <row r="15">
          <cell r="B15" t="str">
            <v>Jetti Hima Sindhu</v>
          </cell>
          <cell r="C15" t="str">
            <v>H</v>
          </cell>
          <cell r="D15" t="str">
            <v>P</v>
          </cell>
          <cell r="E15" t="str">
            <v>P</v>
          </cell>
          <cell r="F15" t="str">
            <v>P</v>
          </cell>
          <cell r="G15" t="str">
            <v>P</v>
          </cell>
          <cell r="H15" t="str">
            <v>P</v>
          </cell>
          <cell r="I15" t="str">
            <v>P</v>
          </cell>
          <cell r="J15" t="str">
            <v>H</v>
          </cell>
          <cell r="K15" t="str">
            <v>P</v>
          </cell>
          <cell r="L15" t="str">
            <v>P</v>
          </cell>
          <cell r="M15" t="str">
            <v>P</v>
          </cell>
          <cell r="N15" t="str">
            <v>P</v>
          </cell>
          <cell r="O15" t="str">
            <v>P</v>
          </cell>
          <cell r="P15" t="str">
            <v>P</v>
          </cell>
          <cell r="Q15" t="str">
            <v>H</v>
          </cell>
          <cell r="R15" t="str">
            <v>P</v>
          </cell>
          <cell r="S15" t="str">
            <v>P</v>
          </cell>
          <cell r="T15" t="str">
            <v>P</v>
          </cell>
          <cell r="U15" t="str">
            <v>P</v>
          </cell>
          <cell r="V15" t="str">
            <v>L</v>
          </cell>
          <cell r="W15" t="str">
            <v>P</v>
          </cell>
          <cell r="X15" t="str">
            <v>H</v>
          </cell>
          <cell r="Y15" t="str">
            <v>P</v>
          </cell>
          <cell r="Z15" t="str">
            <v>P</v>
          </cell>
          <cell r="AA15" t="str">
            <v>L</v>
          </cell>
          <cell r="AB15" t="str">
            <v>L</v>
          </cell>
          <cell r="AC15" t="str">
            <v>L</v>
          </cell>
          <cell r="AD15" t="str">
            <v>P</v>
          </cell>
          <cell r="AH15">
            <v>24</v>
          </cell>
          <cell r="AI15">
            <v>14143</v>
          </cell>
        </row>
        <row r="16">
          <cell r="B16" t="str">
            <v>K Thirupathaiah</v>
          </cell>
          <cell r="C16" t="str">
            <v>H</v>
          </cell>
          <cell r="D16" t="str">
            <v>P</v>
          </cell>
          <cell r="E16" t="str">
            <v>P</v>
          </cell>
          <cell r="F16" t="str">
            <v>P</v>
          </cell>
          <cell r="G16" t="str">
            <v>P</v>
          </cell>
          <cell r="H16" t="str">
            <v>P</v>
          </cell>
          <cell r="I16" t="str">
            <v>P</v>
          </cell>
          <cell r="J16" t="str">
            <v>H</v>
          </cell>
          <cell r="K16" t="str">
            <v>P</v>
          </cell>
          <cell r="L16" t="str">
            <v>P</v>
          </cell>
          <cell r="M16" t="str">
            <v>P</v>
          </cell>
          <cell r="N16" t="str">
            <v>P</v>
          </cell>
          <cell r="O16" t="str">
            <v>P</v>
          </cell>
          <cell r="P16" t="str">
            <v>P</v>
          </cell>
          <cell r="Q16" t="str">
            <v>H</v>
          </cell>
          <cell r="R16" t="str">
            <v>P</v>
          </cell>
          <cell r="S16" t="str">
            <v>P</v>
          </cell>
          <cell r="T16" t="str">
            <v>P</v>
          </cell>
          <cell r="U16" t="str">
            <v>P</v>
          </cell>
          <cell r="V16" t="str">
            <v>P</v>
          </cell>
          <cell r="W16" t="str">
            <v>P</v>
          </cell>
          <cell r="X16" t="str">
            <v>H</v>
          </cell>
          <cell r="Y16" t="str">
            <v>P</v>
          </cell>
          <cell r="Z16" t="str">
            <v>P</v>
          </cell>
          <cell r="AA16" t="str">
            <v>P</v>
          </cell>
          <cell r="AB16" t="str">
            <v>P</v>
          </cell>
          <cell r="AC16" t="str">
            <v>P</v>
          </cell>
          <cell r="AD16" t="str">
            <v>P</v>
          </cell>
          <cell r="AH16">
            <v>28</v>
          </cell>
          <cell r="AI16">
            <v>16500</v>
          </cell>
        </row>
        <row r="17">
          <cell r="B17" t="str">
            <v>Kanche Srisailam</v>
          </cell>
          <cell r="C17" t="str">
            <v>H</v>
          </cell>
          <cell r="D17" t="str">
            <v>P</v>
          </cell>
          <cell r="E17" t="str">
            <v>P</v>
          </cell>
          <cell r="F17" t="str">
            <v>P</v>
          </cell>
          <cell r="G17" t="str">
            <v>P</v>
          </cell>
          <cell r="H17" t="str">
            <v>P</v>
          </cell>
          <cell r="I17" t="str">
            <v>P</v>
          </cell>
          <cell r="J17" t="str">
            <v>H</v>
          </cell>
          <cell r="K17" t="str">
            <v>P</v>
          </cell>
          <cell r="L17" t="str">
            <v>P</v>
          </cell>
          <cell r="M17" t="str">
            <v>P</v>
          </cell>
          <cell r="N17" t="str">
            <v>P</v>
          </cell>
          <cell r="O17" t="str">
            <v>P</v>
          </cell>
          <cell r="P17" t="str">
            <v>P</v>
          </cell>
          <cell r="Q17" t="str">
            <v>H</v>
          </cell>
          <cell r="R17" t="str">
            <v>P</v>
          </cell>
          <cell r="S17" t="str">
            <v>P</v>
          </cell>
          <cell r="T17" t="str">
            <v>P</v>
          </cell>
          <cell r="U17" t="str">
            <v>P</v>
          </cell>
          <cell r="V17" t="str">
            <v>P</v>
          </cell>
          <cell r="W17" t="str">
            <v>P</v>
          </cell>
          <cell r="X17" t="str">
            <v>H</v>
          </cell>
          <cell r="Y17" t="str">
            <v>P</v>
          </cell>
          <cell r="Z17" t="str">
            <v>P</v>
          </cell>
          <cell r="AA17" t="str">
            <v>P</v>
          </cell>
          <cell r="AB17" t="str">
            <v>P</v>
          </cell>
          <cell r="AC17" t="str">
            <v>P</v>
          </cell>
          <cell r="AD17" t="str">
            <v>P</v>
          </cell>
          <cell r="AH17">
            <v>28</v>
          </cell>
          <cell r="AI17">
            <v>16500</v>
          </cell>
        </row>
        <row r="18">
          <cell r="B18" t="str">
            <v>Kasireddy Harish</v>
          </cell>
          <cell r="C18" t="str">
            <v>H</v>
          </cell>
          <cell r="D18" t="str">
            <v>P</v>
          </cell>
          <cell r="E18" t="str">
            <v>P</v>
          </cell>
          <cell r="F18" t="str">
            <v>P</v>
          </cell>
          <cell r="G18" t="str">
            <v>P</v>
          </cell>
          <cell r="H18" t="str">
            <v>P</v>
          </cell>
          <cell r="I18" t="str">
            <v>P</v>
          </cell>
          <cell r="J18" t="str">
            <v>H</v>
          </cell>
          <cell r="K18" t="str">
            <v>P</v>
          </cell>
          <cell r="L18" t="str">
            <v>P</v>
          </cell>
          <cell r="M18" t="str">
            <v>P</v>
          </cell>
          <cell r="N18" t="str">
            <v>P</v>
          </cell>
          <cell r="O18" t="str">
            <v>P</v>
          </cell>
          <cell r="P18" t="str">
            <v>P</v>
          </cell>
          <cell r="Q18" t="str">
            <v>H</v>
          </cell>
          <cell r="R18" t="str">
            <v>P</v>
          </cell>
          <cell r="S18" t="str">
            <v>P</v>
          </cell>
          <cell r="T18" t="str">
            <v>P</v>
          </cell>
          <cell r="U18" t="str">
            <v>P</v>
          </cell>
          <cell r="V18" t="str">
            <v>P</v>
          </cell>
          <cell r="W18" t="str">
            <v>P</v>
          </cell>
          <cell r="X18" t="str">
            <v>H</v>
          </cell>
          <cell r="Y18" t="str">
            <v>P</v>
          </cell>
          <cell r="Z18" t="str">
            <v>P</v>
          </cell>
          <cell r="AA18" t="str">
            <v>P</v>
          </cell>
          <cell r="AB18" t="str">
            <v>P</v>
          </cell>
          <cell r="AC18" t="str">
            <v>P</v>
          </cell>
          <cell r="AD18" t="str">
            <v>P</v>
          </cell>
          <cell r="AH18">
            <v>28</v>
          </cell>
          <cell r="AI18">
            <v>16500</v>
          </cell>
        </row>
        <row r="19">
          <cell r="B19" t="str">
            <v>Kasturi Sathish</v>
          </cell>
          <cell r="C19" t="str">
            <v>H</v>
          </cell>
          <cell r="D19" t="str">
            <v>P</v>
          </cell>
          <cell r="E19" t="str">
            <v>P</v>
          </cell>
          <cell r="F19" t="str">
            <v>P</v>
          </cell>
          <cell r="G19" t="str">
            <v>P</v>
          </cell>
          <cell r="H19" t="str">
            <v>P</v>
          </cell>
          <cell r="I19" t="str">
            <v>P</v>
          </cell>
          <cell r="J19" t="str">
            <v>H</v>
          </cell>
          <cell r="K19" t="str">
            <v>P</v>
          </cell>
          <cell r="L19" t="str">
            <v>P</v>
          </cell>
          <cell r="M19" t="str">
            <v>P</v>
          </cell>
          <cell r="N19" t="str">
            <v>P</v>
          </cell>
          <cell r="O19" t="str">
            <v>P</v>
          </cell>
          <cell r="P19" t="str">
            <v>P</v>
          </cell>
          <cell r="Q19" t="str">
            <v>H</v>
          </cell>
          <cell r="R19" t="str">
            <v>P</v>
          </cell>
          <cell r="S19" t="str">
            <v>P</v>
          </cell>
          <cell r="T19" t="str">
            <v>P</v>
          </cell>
          <cell r="U19" t="str">
            <v>P</v>
          </cell>
          <cell r="V19" t="str">
            <v>P</v>
          </cell>
          <cell r="W19" t="str">
            <v>P</v>
          </cell>
          <cell r="X19" t="str">
            <v>H</v>
          </cell>
          <cell r="Y19" t="str">
            <v>P</v>
          </cell>
          <cell r="Z19" t="str">
            <v>P</v>
          </cell>
          <cell r="AA19" t="str">
            <v>P</v>
          </cell>
          <cell r="AB19" t="str">
            <v>P</v>
          </cell>
          <cell r="AC19" t="str">
            <v>P</v>
          </cell>
          <cell r="AD19" t="str">
            <v>P</v>
          </cell>
          <cell r="AH19">
            <v>28</v>
          </cell>
          <cell r="AI19">
            <v>16500</v>
          </cell>
        </row>
        <row r="20">
          <cell r="B20" t="str">
            <v>Katravath Mangesh</v>
          </cell>
          <cell r="C20" t="str">
            <v>H</v>
          </cell>
          <cell r="D20" t="str">
            <v>P</v>
          </cell>
          <cell r="E20" t="str">
            <v>P</v>
          </cell>
          <cell r="F20" t="str">
            <v>P</v>
          </cell>
          <cell r="G20" t="str">
            <v>P</v>
          </cell>
          <cell r="H20" t="str">
            <v>P</v>
          </cell>
          <cell r="I20" t="str">
            <v>P</v>
          </cell>
          <cell r="J20" t="str">
            <v>H</v>
          </cell>
          <cell r="K20" t="str">
            <v>P</v>
          </cell>
          <cell r="L20" t="str">
            <v>P</v>
          </cell>
          <cell r="M20" t="str">
            <v>P</v>
          </cell>
          <cell r="N20" t="str">
            <v>P</v>
          </cell>
          <cell r="O20" t="str">
            <v>P</v>
          </cell>
          <cell r="P20" t="str">
            <v>P</v>
          </cell>
          <cell r="Q20" t="str">
            <v>H</v>
          </cell>
          <cell r="R20" t="str">
            <v>P</v>
          </cell>
          <cell r="S20" t="str">
            <v>P</v>
          </cell>
          <cell r="T20" t="str">
            <v>P</v>
          </cell>
          <cell r="U20" t="str">
            <v>P</v>
          </cell>
          <cell r="V20" t="str">
            <v>P</v>
          </cell>
          <cell r="W20" t="str">
            <v>P</v>
          </cell>
          <cell r="X20" t="str">
            <v>H</v>
          </cell>
          <cell r="Y20" t="str">
            <v>P</v>
          </cell>
          <cell r="Z20" t="str">
            <v>P</v>
          </cell>
          <cell r="AA20" t="str">
            <v>P</v>
          </cell>
          <cell r="AB20" t="str">
            <v>P</v>
          </cell>
          <cell r="AC20" t="str">
            <v>P</v>
          </cell>
          <cell r="AD20" t="str">
            <v>P</v>
          </cell>
          <cell r="AH20">
            <v>28</v>
          </cell>
          <cell r="AI20">
            <v>16500</v>
          </cell>
        </row>
        <row r="21">
          <cell r="B21" t="str">
            <v>Katravath Mohan Rathod</v>
          </cell>
          <cell r="C21" t="str">
            <v>H</v>
          </cell>
          <cell r="D21" t="str">
            <v>P</v>
          </cell>
          <cell r="E21" t="str">
            <v>P</v>
          </cell>
          <cell r="F21" t="str">
            <v>P</v>
          </cell>
          <cell r="G21" t="str">
            <v>P</v>
          </cell>
          <cell r="H21" t="str">
            <v>P</v>
          </cell>
          <cell r="I21" t="str">
            <v>P</v>
          </cell>
          <cell r="J21" t="str">
            <v>H</v>
          </cell>
          <cell r="K21" t="str">
            <v>P</v>
          </cell>
          <cell r="L21" t="str">
            <v>P</v>
          </cell>
          <cell r="M21" t="str">
            <v>P</v>
          </cell>
          <cell r="N21" t="str">
            <v>P</v>
          </cell>
          <cell r="O21" t="str">
            <v>P</v>
          </cell>
          <cell r="P21" t="str">
            <v>L</v>
          </cell>
          <cell r="Q21" t="str">
            <v>H</v>
          </cell>
          <cell r="R21" t="str">
            <v>P</v>
          </cell>
          <cell r="S21" t="str">
            <v>P</v>
          </cell>
          <cell r="T21" t="str">
            <v>P</v>
          </cell>
          <cell r="U21" t="str">
            <v>P</v>
          </cell>
          <cell r="V21" t="str">
            <v>P</v>
          </cell>
          <cell r="W21" t="str">
            <v>P</v>
          </cell>
          <cell r="X21" t="str">
            <v>H</v>
          </cell>
          <cell r="Y21" t="str">
            <v>P</v>
          </cell>
          <cell r="Z21" t="str">
            <v>P</v>
          </cell>
          <cell r="AA21" t="str">
            <v>P</v>
          </cell>
          <cell r="AB21" t="str">
            <v>P</v>
          </cell>
          <cell r="AC21" t="str">
            <v>P</v>
          </cell>
          <cell r="AD21" t="str">
            <v>P</v>
          </cell>
          <cell r="AH21">
            <v>27</v>
          </cell>
          <cell r="AI21">
            <v>15911</v>
          </cell>
        </row>
        <row r="22">
          <cell r="B22" t="str">
            <v>Katravath Radhika</v>
          </cell>
          <cell r="C22" t="str">
            <v>H</v>
          </cell>
          <cell r="D22" t="str">
            <v>P</v>
          </cell>
          <cell r="E22" t="str">
            <v>P</v>
          </cell>
          <cell r="F22" t="str">
            <v>P</v>
          </cell>
          <cell r="G22" t="str">
            <v>P</v>
          </cell>
          <cell r="H22" t="str">
            <v>P</v>
          </cell>
          <cell r="I22" t="str">
            <v>P</v>
          </cell>
          <cell r="J22" t="str">
            <v>H</v>
          </cell>
          <cell r="K22" t="str">
            <v>P</v>
          </cell>
          <cell r="L22" t="str">
            <v>P</v>
          </cell>
          <cell r="M22" t="str">
            <v>P</v>
          </cell>
          <cell r="N22" t="str">
            <v>P</v>
          </cell>
          <cell r="O22" t="str">
            <v>P</v>
          </cell>
          <cell r="P22" t="str">
            <v>P</v>
          </cell>
          <cell r="Q22" t="str">
            <v>H</v>
          </cell>
          <cell r="R22" t="str">
            <v>P</v>
          </cell>
          <cell r="S22" t="str">
            <v>L</v>
          </cell>
          <cell r="T22" t="str">
            <v>L</v>
          </cell>
          <cell r="U22" t="str">
            <v>L</v>
          </cell>
          <cell r="V22" t="str">
            <v>L</v>
          </cell>
          <cell r="W22" t="str">
            <v>L</v>
          </cell>
          <cell r="X22" t="str">
            <v>H</v>
          </cell>
          <cell r="Y22" t="str">
            <v>P</v>
          </cell>
          <cell r="Z22" t="str">
            <v>P</v>
          </cell>
          <cell r="AA22" t="str">
            <v>P</v>
          </cell>
          <cell r="AB22" t="str">
            <v>P</v>
          </cell>
          <cell r="AC22" t="str">
            <v>P</v>
          </cell>
          <cell r="AD22" t="str">
            <v>P</v>
          </cell>
          <cell r="AH22">
            <v>23</v>
          </cell>
          <cell r="AI22">
            <v>13554</v>
          </cell>
        </row>
        <row r="23">
          <cell r="B23" t="str">
            <v>Kodavath Swamy</v>
          </cell>
          <cell r="C23" t="str">
            <v>H</v>
          </cell>
          <cell r="D23" t="str">
            <v>P</v>
          </cell>
          <cell r="E23" t="str">
            <v>P</v>
          </cell>
          <cell r="F23" t="str">
            <v>P</v>
          </cell>
          <cell r="G23" t="str">
            <v>P</v>
          </cell>
          <cell r="H23" t="str">
            <v>P</v>
          </cell>
          <cell r="I23" t="str">
            <v>P</v>
          </cell>
          <cell r="J23" t="str">
            <v>H</v>
          </cell>
          <cell r="K23" t="str">
            <v>P</v>
          </cell>
          <cell r="L23" t="str">
            <v>P</v>
          </cell>
          <cell r="M23" t="str">
            <v>P</v>
          </cell>
          <cell r="N23" t="str">
            <v>P</v>
          </cell>
          <cell r="O23" t="str">
            <v>P</v>
          </cell>
          <cell r="P23" t="str">
            <v>P</v>
          </cell>
          <cell r="Q23" t="str">
            <v>H</v>
          </cell>
          <cell r="R23" t="str">
            <v>P</v>
          </cell>
          <cell r="S23" t="str">
            <v>P</v>
          </cell>
          <cell r="T23" t="str">
            <v>P</v>
          </cell>
          <cell r="U23" t="str">
            <v>P</v>
          </cell>
          <cell r="V23" t="str">
            <v>P</v>
          </cell>
          <cell r="W23" t="str">
            <v>P</v>
          </cell>
          <cell r="X23" t="str">
            <v>H</v>
          </cell>
          <cell r="Y23" t="str">
            <v>P</v>
          </cell>
          <cell r="Z23" t="str">
            <v>P</v>
          </cell>
          <cell r="AA23" t="str">
            <v>P</v>
          </cell>
          <cell r="AB23" t="str">
            <v>P</v>
          </cell>
          <cell r="AC23" t="str">
            <v>P</v>
          </cell>
          <cell r="AD23" t="str">
            <v>P</v>
          </cell>
          <cell r="AH23">
            <v>28</v>
          </cell>
          <cell r="AI23">
            <v>16500</v>
          </cell>
        </row>
        <row r="24">
          <cell r="B24" t="str">
            <v>Kolla Sudhakar</v>
          </cell>
          <cell r="C24" t="str">
            <v>H</v>
          </cell>
          <cell r="D24" t="str">
            <v>P</v>
          </cell>
          <cell r="E24" t="str">
            <v>P</v>
          </cell>
          <cell r="F24" t="str">
            <v>P</v>
          </cell>
          <cell r="G24" t="str">
            <v>P</v>
          </cell>
          <cell r="H24" t="str">
            <v>P</v>
          </cell>
          <cell r="I24" t="str">
            <v>P</v>
          </cell>
          <cell r="J24" t="str">
            <v>L</v>
          </cell>
          <cell r="K24" t="str">
            <v>L</v>
          </cell>
          <cell r="L24" t="str">
            <v>L</v>
          </cell>
          <cell r="M24" t="str">
            <v>L</v>
          </cell>
          <cell r="N24" t="str">
            <v>L</v>
          </cell>
          <cell r="O24" t="str">
            <v>L</v>
          </cell>
          <cell r="P24" t="str">
            <v>L</v>
          </cell>
          <cell r="Q24" t="str">
            <v>L</v>
          </cell>
          <cell r="R24" t="str">
            <v>L</v>
          </cell>
          <cell r="S24" t="str">
            <v>L</v>
          </cell>
          <cell r="T24" t="str">
            <v>L</v>
          </cell>
          <cell r="U24" t="str">
            <v>L</v>
          </cell>
          <cell r="V24" t="str">
            <v>L</v>
          </cell>
          <cell r="W24" t="str">
            <v>L</v>
          </cell>
          <cell r="X24" t="str">
            <v>L</v>
          </cell>
          <cell r="Y24" t="str">
            <v>L</v>
          </cell>
          <cell r="Z24" t="str">
            <v>L</v>
          </cell>
          <cell r="AA24" t="str">
            <v>L</v>
          </cell>
          <cell r="AB24" t="str">
            <v>L</v>
          </cell>
          <cell r="AC24" t="str">
            <v>L</v>
          </cell>
          <cell r="AD24" t="str">
            <v>L</v>
          </cell>
          <cell r="AH24">
            <v>7</v>
          </cell>
          <cell r="AI24">
            <v>4125</v>
          </cell>
        </row>
        <row r="25">
          <cell r="B25" t="str">
            <v>Kunduru Upender Reddy</v>
          </cell>
          <cell r="C25" t="str">
            <v>H</v>
          </cell>
          <cell r="D25" t="str">
            <v>L</v>
          </cell>
          <cell r="E25" t="str">
            <v>L</v>
          </cell>
          <cell r="F25" t="str">
            <v>L</v>
          </cell>
          <cell r="G25" t="str">
            <v>L</v>
          </cell>
          <cell r="H25" t="str">
            <v>L</v>
          </cell>
          <cell r="I25" t="str">
            <v>L</v>
          </cell>
          <cell r="J25" t="str">
            <v>H</v>
          </cell>
          <cell r="K25" t="str">
            <v>P</v>
          </cell>
          <cell r="L25" t="str">
            <v>P</v>
          </cell>
          <cell r="M25" t="str">
            <v>P</v>
          </cell>
          <cell r="N25" t="str">
            <v>P</v>
          </cell>
          <cell r="O25" t="str">
            <v>P</v>
          </cell>
          <cell r="P25" t="str">
            <v>P</v>
          </cell>
          <cell r="Q25" t="str">
            <v>H</v>
          </cell>
          <cell r="R25" t="str">
            <v>P</v>
          </cell>
          <cell r="S25" t="str">
            <v>P</v>
          </cell>
          <cell r="T25" t="str">
            <v>P</v>
          </cell>
          <cell r="U25" t="str">
            <v>P</v>
          </cell>
          <cell r="V25" t="str">
            <v>P</v>
          </cell>
          <cell r="W25" t="str">
            <v>P</v>
          </cell>
          <cell r="X25" t="str">
            <v>H</v>
          </cell>
          <cell r="Y25" t="str">
            <v>P</v>
          </cell>
          <cell r="Z25" t="str">
            <v>P</v>
          </cell>
          <cell r="AA25" t="str">
            <v>P</v>
          </cell>
          <cell r="AB25" t="str">
            <v>P</v>
          </cell>
          <cell r="AC25" t="str">
            <v>L</v>
          </cell>
          <cell r="AD25" t="str">
            <v>P</v>
          </cell>
          <cell r="AH25">
            <v>21</v>
          </cell>
          <cell r="AI25">
            <v>12375</v>
          </cell>
        </row>
        <row r="26">
          <cell r="B26" t="str">
            <v>M jathin sai</v>
          </cell>
          <cell r="C26" t="str">
            <v>H</v>
          </cell>
          <cell r="D26" t="str">
            <v>P</v>
          </cell>
          <cell r="E26" t="str">
            <v>P</v>
          </cell>
          <cell r="F26" t="str">
            <v>P</v>
          </cell>
          <cell r="G26" t="str">
            <v>P</v>
          </cell>
          <cell r="H26" t="str">
            <v>P</v>
          </cell>
          <cell r="I26" t="str">
            <v>P</v>
          </cell>
          <cell r="J26" t="str">
            <v>H</v>
          </cell>
          <cell r="K26" t="str">
            <v>P</v>
          </cell>
          <cell r="L26" t="str">
            <v>P</v>
          </cell>
          <cell r="M26" t="str">
            <v>P</v>
          </cell>
          <cell r="N26" t="str">
            <v>P</v>
          </cell>
          <cell r="O26" t="str">
            <v>P</v>
          </cell>
          <cell r="P26" t="str">
            <v>P</v>
          </cell>
          <cell r="Q26" t="str">
            <v>H</v>
          </cell>
          <cell r="R26" t="str">
            <v>P</v>
          </cell>
          <cell r="S26" t="str">
            <v>P</v>
          </cell>
          <cell r="T26" t="str">
            <v>P</v>
          </cell>
          <cell r="U26" t="str">
            <v>P</v>
          </cell>
          <cell r="V26" t="str">
            <v>P</v>
          </cell>
          <cell r="W26" t="str">
            <v>P</v>
          </cell>
          <cell r="X26" t="str">
            <v>H</v>
          </cell>
          <cell r="Y26" t="str">
            <v>P</v>
          </cell>
          <cell r="Z26" t="str">
            <v>P</v>
          </cell>
          <cell r="AA26" t="str">
            <v>P</v>
          </cell>
          <cell r="AB26" t="str">
            <v>P</v>
          </cell>
          <cell r="AC26" t="str">
            <v>P</v>
          </cell>
          <cell r="AD26" t="str">
            <v>P</v>
          </cell>
          <cell r="AH26">
            <v>28</v>
          </cell>
          <cell r="AI26">
            <v>16500</v>
          </cell>
        </row>
        <row r="27">
          <cell r="B27" t="str">
            <v>M Sunitha</v>
          </cell>
          <cell r="C27" t="str">
            <v>H</v>
          </cell>
          <cell r="D27" t="str">
            <v>P</v>
          </cell>
          <cell r="E27" t="str">
            <v>P</v>
          </cell>
          <cell r="F27" t="str">
            <v>P</v>
          </cell>
          <cell r="G27" t="str">
            <v>P</v>
          </cell>
          <cell r="H27" t="str">
            <v>P</v>
          </cell>
          <cell r="I27" t="str">
            <v>P</v>
          </cell>
          <cell r="J27" t="str">
            <v>H</v>
          </cell>
          <cell r="K27" t="str">
            <v>P</v>
          </cell>
          <cell r="L27" t="str">
            <v>P</v>
          </cell>
          <cell r="M27" t="str">
            <v>P</v>
          </cell>
          <cell r="N27" t="str">
            <v>P</v>
          </cell>
          <cell r="O27" t="str">
            <v>P</v>
          </cell>
          <cell r="P27" t="str">
            <v>P</v>
          </cell>
          <cell r="Q27" t="str">
            <v>H</v>
          </cell>
          <cell r="R27" t="str">
            <v>P</v>
          </cell>
          <cell r="S27" t="str">
            <v>P</v>
          </cell>
          <cell r="T27" t="str">
            <v>P</v>
          </cell>
          <cell r="U27" t="str">
            <v>P</v>
          </cell>
          <cell r="V27" t="str">
            <v>P</v>
          </cell>
          <cell r="W27" t="str">
            <v>P</v>
          </cell>
          <cell r="X27" t="str">
            <v>H</v>
          </cell>
          <cell r="Y27" t="str">
            <v>P</v>
          </cell>
          <cell r="Z27" t="str">
            <v>P</v>
          </cell>
          <cell r="AA27" t="str">
            <v>P</v>
          </cell>
          <cell r="AB27" t="str">
            <v>P</v>
          </cell>
          <cell r="AC27" t="str">
            <v>P</v>
          </cell>
          <cell r="AD27" t="str">
            <v>P</v>
          </cell>
          <cell r="AH27">
            <v>28</v>
          </cell>
          <cell r="AI27">
            <v>16500</v>
          </cell>
        </row>
        <row r="28">
          <cell r="B28" t="str">
            <v>M Swarupa</v>
          </cell>
          <cell r="C28" t="str">
            <v>H</v>
          </cell>
          <cell r="D28" t="str">
            <v>L</v>
          </cell>
          <cell r="E28" t="str">
            <v>P</v>
          </cell>
          <cell r="F28" t="str">
            <v>P</v>
          </cell>
          <cell r="G28" t="str">
            <v>P</v>
          </cell>
          <cell r="H28" t="str">
            <v>P</v>
          </cell>
          <cell r="I28" t="str">
            <v>P</v>
          </cell>
          <cell r="J28" t="str">
            <v>H</v>
          </cell>
          <cell r="K28" t="str">
            <v>P</v>
          </cell>
          <cell r="L28" t="str">
            <v>P</v>
          </cell>
          <cell r="M28" t="str">
            <v>P</v>
          </cell>
          <cell r="N28" t="str">
            <v>P</v>
          </cell>
          <cell r="O28" t="str">
            <v>P</v>
          </cell>
          <cell r="P28" t="str">
            <v>L</v>
          </cell>
          <cell r="Q28" t="str">
            <v>H</v>
          </cell>
          <cell r="R28" t="str">
            <v>L</v>
          </cell>
          <cell r="S28" t="str">
            <v>L</v>
          </cell>
          <cell r="T28" t="str">
            <v>P</v>
          </cell>
          <cell r="U28" t="str">
            <v>P</v>
          </cell>
          <cell r="V28" t="str">
            <v>P</v>
          </cell>
          <cell r="W28" t="str">
            <v>P</v>
          </cell>
          <cell r="X28" t="str">
            <v>H</v>
          </cell>
          <cell r="Y28" t="str">
            <v>P</v>
          </cell>
          <cell r="Z28" t="str">
            <v>P</v>
          </cell>
          <cell r="AA28" t="str">
            <v>P</v>
          </cell>
          <cell r="AB28" t="str">
            <v>P</v>
          </cell>
          <cell r="AC28" t="str">
            <v>P</v>
          </cell>
          <cell r="AD28" t="str">
            <v>P</v>
          </cell>
          <cell r="AH28">
            <v>24</v>
          </cell>
          <cell r="AI28">
            <v>14143</v>
          </cell>
        </row>
        <row r="29">
          <cell r="B29" t="str">
            <v>M.Esthar Rani</v>
          </cell>
          <cell r="C29" t="str">
            <v>H</v>
          </cell>
          <cell r="D29" t="str">
            <v>P</v>
          </cell>
          <cell r="E29" t="str">
            <v>P</v>
          </cell>
          <cell r="F29" t="str">
            <v>P</v>
          </cell>
          <cell r="G29" t="str">
            <v>P</v>
          </cell>
          <cell r="H29" t="str">
            <v>P</v>
          </cell>
          <cell r="I29" t="str">
            <v>P</v>
          </cell>
          <cell r="J29" t="str">
            <v>H</v>
          </cell>
          <cell r="K29" t="str">
            <v>L</v>
          </cell>
          <cell r="L29" t="str">
            <v>P</v>
          </cell>
          <cell r="M29" t="str">
            <v>P</v>
          </cell>
          <cell r="N29" t="str">
            <v>P</v>
          </cell>
          <cell r="O29" t="str">
            <v>P</v>
          </cell>
          <cell r="P29" t="str">
            <v>P</v>
          </cell>
          <cell r="Q29" t="str">
            <v>H</v>
          </cell>
          <cell r="R29" t="str">
            <v>P</v>
          </cell>
          <cell r="S29" t="str">
            <v>P</v>
          </cell>
          <cell r="T29" t="str">
            <v>P</v>
          </cell>
          <cell r="U29" t="str">
            <v>P</v>
          </cell>
          <cell r="V29" t="str">
            <v>P</v>
          </cell>
          <cell r="W29" t="str">
            <v>L</v>
          </cell>
          <cell r="X29" t="str">
            <v>H</v>
          </cell>
          <cell r="Y29" t="str">
            <v>P</v>
          </cell>
          <cell r="Z29" t="str">
            <v>P</v>
          </cell>
          <cell r="AA29" t="str">
            <v>P</v>
          </cell>
          <cell r="AB29" t="str">
            <v>P</v>
          </cell>
          <cell r="AC29" t="str">
            <v>P</v>
          </cell>
          <cell r="AD29" t="str">
            <v>P</v>
          </cell>
          <cell r="AH29">
            <v>26</v>
          </cell>
          <cell r="AI29">
            <v>15321</v>
          </cell>
        </row>
        <row r="30">
          <cell r="B30" t="str">
            <v>Mamidi Raj kumar</v>
          </cell>
          <cell r="C30" t="str">
            <v>H</v>
          </cell>
          <cell r="D30" t="str">
            <v>P</v>
          </cell>
          <cell r="E30" t="str">
            <v>P</v>
          </cell>
          <cell r="F30" t="str">
            <v>P</v>
          </cell>
          <cell r="G30" t="str">
            <v>P</v>
          </cell>
          <cell r="H30" t="str">
            <v>P</v>
          </cell>
          <cell r="I30" t="str">
            <v>P</v>
          </cell>
          <cell r="J30" t="str">
            <v>H</v>
          </cell>
          <cell r="K30" t="str">
            <v>P</v>
          </cell>
          <cell r="L30" t="str">
            <v>P</v>
          </cell>
          <cell r="M30" t="str">
            <v>P</v>
          </cell>
          <cell r="N30" t="str">
            <v>P</v>
          </cell>
          <cell r="O30" t="str">
            <v>P</v>
          </cell>
          <cell r="P30" t="str">
            <v>P</v>
          </cell>
          <cell r="Q30" t="str">
            <v>H</v>
          </cell>
          <cell r="R30" t="str">
            <v>P</v>
          </cell>
          <cell r="S30" t="str">
            <v>L</v>
          </cell>
          <cell r="T30" t="str">
            <v>P</v>
          </cell>
          <cell r="U30" t="str">
            <v>P</v>
          </cell>
          <cell r="V30" t="str">
            <v>P</v>
          </cell>
          <cell r="W30" t="str">
            <v>P</v>
          </cell>
          <cell r="X30" t="str">
            <v>H</v>
          </cell>
          <cell r="Y30" t="str">
            <v>P</v>
          </cell>
          <cell r="Z30" t="str">
            <v>P</v>
          </cell>
          <cell r="AA30" t="str">
            <v>L</v>
          </cell>
          <cell r="AB30" t="str">
            <v>P</v>
          </cell>
          <cell r="AC30" t="str">
            <v>P</v>
          </cell>
          <cell r="AD30" t="str">
            <v>P</v>
          </cell>
          <cell r="AH30">
            <v>26</v>
          </cell>
          <cell r="AI30">
            <v>15321</v>
          </cell>
        </row>
        <row r="31">
          <cell r="B31" t="str">
            <v>Md Mainoddin</v>
          </cell>
          <cell r="C31" t="str">
            <v>H</v>
          </cell>
          <cell r="D31" t="str">
            <v>P</v>
          </cell>
          <cell r="E31" t="str">
            <v>P</v>
          </cell>
          <cell r="F31" t="str">
            <v>P</v>
          </cell>
          <cell r="G31" t="str">
            <v>P</v>
          </cell>
          <cell r="H31" t="str">
            <v>P</v>
          </cell>
          <cell r="I31" t="str">
            <v>P</v>
          </cell>
          <cell r="J31" t="str">
            <v>H</v>
          </cell>
          <cell r="K31" t="str">
            <v>P</v>
          </cell>
          <cell r="L31" t="str">
            <v>P</v>
          </cell>
          <cell r="M31" t="str">
            <v>P</v>
          </cell>
          <cell r="N31" t="str">
            <v>P</v>
          </cell>
          <cell r="O31" t="str">
            <v>P</v>
          </cell>
          <cell r="P31" t="str">
            <v>P</v>
          </cell>
          <cell r="Q31" t="str">
            <v>H</v>
          </cell>
          <cell r="R31" t="str">
            <v>P</v>
          </cell>
          <cell r="S31" t="str">
            <v>P</v>
          </cell>
          <cell r="T31" t="str">
            <v>P</v>
          </cell>
          <cell r="U31" t="str">
            <v>P</v>
          </cell>
          <cell r="V31" t="str">
            <v>P</v>
          </cell>
          <cell r="W31" t="str">
            <v>P</v>
          </cell>
          <cell r="X31" t="str">
            <v>H</v>
          </cell>
          <cell r="Y31" t="str">
            <v>P</v>
          </cell>
          <cell r="Z31" t="str">
            <v>P</v>
          </cell>
          <cell r="AA31" t="str">
            <v>P</v>
          </cell>
          <cell r="AB31" t="str">
            <v>P</v>
          </cell>
          <cell r="AC31" t="str">
            <v>P</v>
          </cell>
          <cell r="AD31" t="str">
            <v>P</v>
          </cell>
          <cell r="AH31">
            <v>28</v>
          </cell>
          <cell r="AI31">
            <v>16500</v>
          </cell>
        </row>
        <row r="32">
          <cell r="B32" t="str">
            <v>Mekala Anusha</v>
          </cell>
          <cell r="C32" t="str">
            <v>H</v>
          </cell>
          <cell r="D32" t="str">
            <v>P</v>
          </cell>
          <cell r="E32" t="str">
            <v>P</v>
          </cell>
          <cell r="F32" t="str">
            <v>P</v>
          </cell>
          <cell r="G32" t="str">
            <v>P</v>
          </cell>
          <cell r="H32" t="str">
            <v>P</v>
          </cell>
          <cell r="I32" t="str">
            <v>P</v>
          </cell>
          <cell r="J32" t="str">
            <v>H</v>
          </cell>
          <cell r="K32" t="str">
            <v>P</v>
          </cell>
          <cell r="L32" t="str">
            <v>P</v>
          </cell>
          <cell r="M32" t="str">
            <v>P</v>
          </cell>
          <cell r="N32" t="str">
            <v>P</v>
          </cell>
          <cell r="O32" t="str">
            <v>P</v>
          </cell>
          <cell r="P32" t="str">
            <v>P</v>
          </cell>
          <cell r="Q32" t="str">
            <v>H</v>
          </cell>
          <cell r="R32" t="str">
            <v>P</v>
          </cell>
          <cell r="S32" t="str">
            <v>P</v>
          </cell>
          <cell r="T32" t="str">
            <v>P</v>
          </cell>
          <cell r="U32" t="str">
            <v>P</v>
          </cell>
          <cell r="V32" t="str">
            <v>P</v>
          </cell>
          <cell r="W32" t="str">
            <v>P</v>
          </cell>
          <cell r="X32" t="str">
            <v>H</v>
          </cell>
          <cell r="Y32" t="str">
            <v>P</v>
          </cell>
          <cell r="Z32" t="str">
            <v>P</v>
          </cell>
          <cell r="AA32" t="str">
            <v>P</v>
          </cell>
          <cell r="AB32" t="str">
            <v>P</v>
          </cell>
          <cell r="AC32" t="str">
            <v>P</v>
          </cell>
          <cell r="AD32" t="str">
            <v>P</v>
          </cell>
          <cell r="AH32">
            <v>28</v>
          </cell>
          <cell r="AI32">
            <v>16500</v>
          </cell>
        </row>
        <row r="33">
          <cell r="B33" t="str">
            <v>Mohammad Naziya</v>
          </cell>
          <cell r="C33" t="str">
            <v>H</v>
          </cell>
          <cell r="D33" t="str">
            <v>P</v>
          </cell>
          <cell r="E33" t="str">
            <v>P</v>
          </cell>
          <cell r="F33" t="str">
            <v>P</v>
          </cell>
          <cell r="G33" t="str">
            <v>P</v>
          </cell>
          <cell r="H33" t="str">
            <v>P</v>
          </cell>
          <cell r="I33" t="str">
            <v>P</v>
          </cell>
          <cell r="J33" t="str">
            <v>H</v>
          </cell>
          <cell r="K33" t="str">
            <v>P</v>
          </cell>
          <cell r="L33" t="str">
            <v>P</v>
          </cell>
          <cell r="M33" t="str">
            <v>P</v>
          </cell>
          <cell r="N33" t="str">
            <v>P</v>
          </cell>
          <cell r="O33" t="str">
            <v>P</v>
          </cell>
          <cell r="P33" t="str">
            <v>P</v>
          </cell>
          <cell r="Q33" t="str">
            <v>H</v>
          </cell>
          <cell r="R33" t="str">
            <v>P</v>
          </cell>
          <cell r="S33" t="str">
            <v>P</v>
          </cell>
          <cell r="T33" t="str">
            <v>P</v>
          </cell>
          <cell r="U33" t="str">
            <v>P</v>
          </cell>
          <cell r="V33" t="str">
            <v>P</v>
          </cell>
          <cell r="W33" t="str">
            <v>P</v>
          </cell>
          <cell r="X33" t="str">
            <v>H</v>
          </cell>
          <cell r="Y33" t="str">
            <v>P</v>
          </cell>
          <cell r="Z33" t="str">
            <v>P</v>
          </cell>
          <cell r="AA33" t="str">
            <v>P</v>
          </cell>
          <cell r="AB33" t="str">
            <v>P</v>
          </cell>
          <cell r="AC33" t="str">
            <v>P</v>
          </cell>
          <cell r="AD33" t="str">
            <v>P</v>
          </cell>
          <cell r="AH33">
            <v>28</v>
          </cell>
          <cell r="AI33">
            <v>16500</v>
          </cell>
        </row>
        <row r="34">
          <cell r="B34" t="str">
            <v>Mohammad Shaheen Begum</v>
          </cell>
          <cell r="C34" t="str">
            <v>H</v>
          </cell>
          <cell r="D34" t="str">
            <v>P</v>
          </cell>
          <cell r="E34" t="str">
            <v>P</v>
          </cell>
          <cell r="F34" t="str">
            <v>P</v>
          </cell>
          <cell r="G34" t="str">
            <v>P</v>
          </cell>
          <cell r="H34" t="str">
            <v>P</v>
          </cell>
          <cell r="I34" t="str">
            <v>P</v>
          </cell>
          <cell r="J34" t="str">
            <v>H</v>
          </cell>
          <cell r="K34" t="str">
            <v>P</v>
          </cell>
          <cell r="L34" t="str">
            <v>P</v>
          </cell>
          <cell r="M34" t="str">
            <v>P</v>
          </cell>
          <cell r="N34" t="str">
            <v>P</v>
          </cell>
          <cell r="O34" t="str">
            <v>L</v>
          </cell>
          <cell r="P34" t="str">
            <v>P</v>
          </cell>
          <cell r="Q34" t="str">
            <v>H</v>
          </cell>
          <cell r="R34" t="str">
            <v>P</v>
          </cell>
          <cell r="S34" t="str">
            <v>L</v>
          </cell>
          <cell r="T34" t="str">
            <v>P</v>
          </cell>
          <cell r="U34" t="str">
            <v>L</v>
          </cell>
          <cell r="V34" t="str">
            <v>P</v>
          </cell>
          <cell r="W34" t="str">
            <v>L</v>
          </cell>
          <cell r="X34" t="str">
            <v>H</v>
          </cell>
          <cell r="Y34" t="str">
            <v>L</v>
          </cell>
          <cell r="Z34" t="str">
            <v>P</v>
          </cell>
          <cell r="AA34" t="str">
            <v>P</v>
          </cell>
          <cell r="AB34" t="str">
            <v>P</v>
          </cell>
          <cell r="AC34" t="str">
            <v>L</v>
          </cell>
          <cell r="AD34" t="str">
            <v>P</v>
          </cell>
          <cell r="AH34">
            <v>22</v>
          </cell>
          <cell r="AI34">
            <v>12964</v>
          </cell>
        </row>
        <row r="35">
          <cell r="B35" t="str">
            <v>Mohammed Yaqoob khan</v>
          </cell>
          <cell r="C35" t="str">
            <v>H</v>
          </cell>
          <cell r="D35" t="str">
            <v>P</v>
          </cell>
          <cell r="E35" t="str">
            <v>P</v>
          </cell>
          <cell r="F35" t="str">
            <v>P</v>
          </cell>
          <cell r="G35" t="str">
            <v>P</v>
          </cell>
          <cell r="H35" t="str">
            <v>L</v>
          </cell>
          <cell r="I35" t="str">
            <v>L</v>
          </cell>
          <cell r="J35" t="str">
            <v>H</v>
          </cell>
          <cell r="K35" t="str">
            <v>L</v>
          </cell>
          <cell r="L35" t="str">
            <v>P</v>
          </cell>
          <cell r="M35" t="str">
            <v>P</v>
          </cell>
          <cell r="N35" t="str">
            <v>P</v>
          </cell>
          <cell r="O35" t="str">
            <v>P</v>
          </cell>
          <cell r="P35" t="str">
            <v>P</v>
          </cell>
          <cell r="Q35" t="str">
            <v>H</v>
          </cell>
          <cell r="R35" t="str">
            <v>P</v>
          </cell>
          <cell r="S35" t="str">
            <v>P</v>
          </cell>
          <cell r="T35" t="str">
            <v>P</v>
          </cell>
          <cell r="U35" t="str">
            <v>P</v>
          </cell>
          <cell r="V35" t="str">
            <v>P</v>
          </cell>
          <cell r="W35" t="str">
            <v>P</v>
          </cell>
          <cell r="X35" t="str">
            <v>H</v>
          </cell>
          <cell r="Y35" t="str">
            <v>P</v>
          </cell>
          <cell r="Z35" t="str">
            <v>P</v>
          </cell>
          <cell r="AA35" t="str">
            <v>P</v>
          </cell>
          <cell r="AB35" t="str">
            <v>P</v>
          </cell>
          <cell r="AC35" t="str">
            <v>P</v>
          </cell>
          <cell r="AD35" t="str">
            <v>P</v>
          </cell>
          <cell r="AH35">
            <v>25</v>
          </cell>
          <cell r="AI35">
            <v>14732</v>
          </cell>
        </row>
        <row r="36">
          <cell r="B36" t="str">
            <v>Mudavath Balakoti</v>
          </cell>
          <cell r="C36" t="str">
            <v>H</v>
          </cell>
          <cell r="D36" t="str">
            <v>P</v>
          </cell>
          <cell r="E36" t="str">
            <v>P</v>
          </cell>
          <cell r="F36" t="str">
            <v>P</v>
          </cell>
          <cell r="G36" t="str">
            <v>P</v>
          </cell>
          <cell r="H36" t="str">
            <v>P</v>
          </cell>
          <cell r="I36" t="str">
            <v>P</v>
          </cell>
          <cell r="J36" t="str">
            <v>H</v>
          </cell>
          <cell r="K36" t="str">
            <v>P</v>
          </cell>
          <cell r="L36" t="str">
            <v>P</v>
          </cell>
          <cell r="M36" t="str">
            <v>P</v>
          </cell>
          <cell r="N36" t="str">
            <v>P</v>
          </cell>
          <cell r="O36" t="str">
            <v>P</v>
          </cell>
          <cell r="P36" t="str">
            <v>P</v>
          </cell>
          <cell r="Q36" t="str">
            <v>H</v>
          </cell>
          <cell r="R36" t="str">
            <v>L</v>
          </cell>
          <cell r="S36" t="str">
            <v>P</v>
          </cell>
          <cell r="T36" t="str">
            <v>P</v>
          </cell>
          <cell r="U36" t="str">
            <v>L</v>
          </cell>
          <cell r="V36" t="str">
            <v>P</v>
          </cell>
          <cell r="W36" t="str">
            <v>L</v>
          </cell>
          <cell r="X36" t="str">
            <v>H</v>
          </cell>
          <cell r="Y36" t="str">
            <v>L</v>
          </cell>
          <cell r="Z36" t="str">
            <v>P</v>
          </cell>
          <cell r="AA36" t="str">
            <v>P</v>
          </cell>
          <cell r="AB36" t="str">
            <v>P</v>
          </cell>
          <cell r="AC36" t="str">
            <v>P</v>
          </cell>
          <cell r="AD36" t="str">
            <v>P</v>
          </cell>
          <cell r="AH36">
            <v>24</v>
          </cell>
          <cell r="AI36">
            <v>14143</v>
          </cell>
        </row>
        <row r="37">
          <cell r="B37" t="str">
            <v>Mudavath Kiran</v>
          </cell>
          <cell r="C37" t="str">
            <v>H</v>
          </cell>
          <cell r="D37" t="str">
            <v>P</v>
          </cell>
          <cell r="E37" t="str">
            <v>P</v>
          </cell>
          <cell r="F37" t="str">
            <v>P</v>
          </cell>
          <cell r="G37" t="str">
            <v>P</v>
          </cell>
          <cell r="H37" t="str">
            <v>P</v>
          </cell>
          <cell r="I37" t="str">
            <v>P</v>
          </cell>
          <cell r="J37" t="str">
            <v>H</v>
          </cell>
          <cell r="K37" t="str">
            <v>P</v>
          </cell>
          <cell r="L37" t="str">
            <v>P</v>
          </cell>
          <cell r="M37" t="str">
            <v>P</v>
          </cell>
          <cell r="N37" t="str">
            <v>P</v>
          </cell>
          <cell r="O37" t="str">
            <v>P</v>
          </cell>
          <cell r="P37" t="str">
            <v>P</v>
          </cell>
          <cell r="Q37" t="str">
            <v>H</v>
          </cell>
          <cell r="R37" t="str">
            <v>P</v>
          </cell>
          <cell r="S37" t="str">
            <v>L</v>
          </cell>
          <cell r="T37" t="str">
            <v>P</v>
          </cell>
          <cell r="U37" t="str">
            <v>P</v>
          </cell>
          <cell r="V37" t="str">
            <v>P</v>
          </cell>
          <cell r="W37" t="str">
            <v>P</v>
          </cell>
          <cell r="X37" t="str">
            <v>H</v>
          </cell>
          <cell r="Y37" t="str">
            <v>P</v>
          </cell>
          <cell r="Z37" t="str">
            <v>P</v>
          </cell>
          <cell r="AA37" t="str">
            <v>P</v>
          </cell>
          <cell r="AB37" t="str">
            <v>P</v>
          </cell>
          <cell r="AC37" t="str">
            <v>P</v>
          </cell>
          <cell r="AD37" t="str">
            <v>P</v>
          </cell>
          <cell r="AH37">
            <v>27</v>
          </cell>
          <cell r="AI37">
            <v>15911</v>
          </cell>
        </row>
        <row r="38">
          <cell r="B38" t="str">
            <v>Mudavath Ramesh</v>
          </cell>
          <cell r="C38" t="str">
            <v>H</v>
          </cell>
          <cell r="D38" t="str">
            <v>P</v>
          </cell>
          <cell r="E38" t="str">
            <v>P</v>
          </cell>
          <cell r="F38" t="str">
            <v>P</v>
          </cell>
          <cell r="G38" t="str">
            <v>P</v>
          </cell>
          <cell r="H38" t="str">
            <v>P</v>
          </cell>
          <cell r="I38" t="str">
            <v>P</v>
          </cell>
          <cell r="J38" t="str">
            <v>H</v>
          </cell>
          <cell r="K38" t="str">
            <v>P</v>
          </cell>
          <cell r="L38" t="str">
            <v>P</v>
          </cell>
          <cell r="M38" t="str">
            <v>P</v>
          </cell>
          <cell r="N38" t="str">
            <v>P</v>
          </cell>
          <cell r="O38" t="str">
            <v>L</v>
          </cell>
          <cell r="P38" t="str">
            <v>L</v>
          </cell>
          <cell r="Q38" t="str">
            <v>H</v>
          </cell>
          <cell r="R38" t="str">
            <v>L</v>
          </cell>
          <cell r="S38" t="str">
            <v>P</v>
          </cell>
          <cell r="T38" t="str">
            <v>P</v>
          </cell>
          <cell r="U38" t="str">
            <v>P</v>
          </cell>
          <cell r="V38" t="str">
            <v>P</v>
          </cell>
          <cell r="W38" t="str">
            <v>P</v>
          </cell>
          <cell r="X38" t="str">
            <v>H</v>
          </cell>
          <cell r="Y38" t="str">
            <v>P</v>
          </cell>
          <cell r="Z38" t="str">
            <v>P</v>
          </cell>
          <cell r="AA38" t="str">
            <v>P</v>
          </cell>
          <cell r="AB38" t="str">
            <v>P</v>
          </cell>
          <cell r="AC38" t="str">
            <v>P</v>
          </cell>
          <cell r="AD38" t="str">
            <v>P</v>
          </cell>
          <cell r="AH38">
            <v>25</v>
          </cell>
          <cell r="AI38">
            <v>14732</v>
          </cell>
        </row>
        <row r="39">
          <cell r="B39" t="str">
            <v>Neeli Srivani</v>
          </cell>
          <cell r="C39" t="str">
            <v>H</v>
          </cell>
          <cell r="D39" t="str">
            <v>P</v>
          </cell>
          <cell r="E39" t="str">
            <v>P</v>
          </cell>
          <cell r="F39" t="str">
            <v>P</v>
          </cell>
          <cell r="G39" t="str">
            <v>P</v>
          </cell>
          <cell r="H39" t="str">
            <v>P</v>
          </cell>
          <cell r="I39" t="str">
            <v>P</v>
          </cell>
          <cell r="J39" t="str">
            <v>H</v>
          </cell>
          <cell r="K39" t="str">
            <v>P</v>
          </cell>
          <cell r="L39" t="str">
            <v>P</v>
          </cell>
          <cell r="M39" t="str">
            <v>P</v>
          </cell>
          <cell r="N39" t="str">
            <v>P</v>
          </cell>
          <cell r="O39" t="str">
            <v>P</v>
          </cell>
          <cell r="P39" t="str">
            <v>P</v>
          </cell>
          <cell r="Q39" t="str">
            <v>H</v>
          </cell>
          <cell r="R39" t="str">
            <v>L</v>
          </cell>
          <cell r="S39" t="str">
            <v>L</v>
          </cell>
          <cell r="T39" t="str">
            <v>P</v>
          </cell>
          <cell r="U39" t="str">
            <v>P</v>
          </cell>
          <cell r="V39" t="str">
            <v>P</v>
          </cell>
          <cell r="W39" t="str">
            <v>P</v>
          </cell>
          <cell r="X39" t="str">
            <v>H</v>
          </cell>
          <cell r="Y39" t="str">
            <v>P</v>
          </cell>
          <cell r="Z39" t="str">
            <v>P</v>
          </cell>
          <cell r="AA39" t="str">
            <v>P</v>
          </cell>
          <cell r="AB39" t="str">
            <v>P</v>
          </cell>
          <cell r="AC39" t="str">
            <v>P</v>
          </cell>
          <cell r="AD39" t="str">
            <v>P</v>
          </cell>
          <cell r="AH39">
            <v>26</v>
          </cell>
          <cell r="AI39">
            <v>15321</v>
          </cell>
        </row>
        <row r="40">
          <cell r="B40" t="str">
            <v>Padira Radhika</v>
          </cell>
          <cell r="C40" t="str">
            <v>H</v>
          </cell>
          <cell r="D40" t="str">
            <v>P</v>
          </cell>
          <cell r="E40" t="str">
            <v>P</v>
          </cell>
          <cell r="F40" t="str">
            <v>P</v>
          </cell>
          <cell r="G40" t="str">
            <v>P</v>
          </cell>
          <cell r="H40" t="str">
            <v>P</v>
          </cell>
          <cell r="I40" t="str">
            <v>P</v>
          </cell>
          <cell r="J40" t="str">
            <v>H</v>
          </cell>
          <cell r="K40" t="str">
            <v>P</v>
          </cell>
          <cell r="L40" t="str">
            <v>P</v>
          </cell>
          <cell r="M40" t="str">
            <v>P</v>
          </cell>
          <cell r="N40" t="str">
            <v>P</v>
          </cell>
          <cell r="O40" t="str">
            <v>P</v>
          </cell>
          <cell r="P40" t="str">
            <v>P</v>
          </cell>
          <cell r="Q40" t="str">
            <v>H</v>
          </cell>
          <cell r="R40" t="str">
            <v>P</v>
          </cell>
          <cell r="S40" t="str">
            <v>P</v>
          </cell>
          <cell r="T40" t="str">
            <v>P</v>
          </cell>
          <cell r="U40" t="str">
            <v>P</v>
          </cell>
          <cell r="V40" t="str">
            <v>P</v>
          </cell>
          <cell r="W40" t="str">
            <v>P</v>
          </cell>
          <cell r="X40" t="str">
            <v>H</v>
          </cell>
          <cell r="Y40" t="str">
            <v>P</v>
          </cell>
          <cell r="Z40" t="str">
            <v>P</v>
          </cell>
          <cell r="AA40" t="str">
            <v>P</v>
          </cell>
          <cell r="AB40" t="str">
            <v>P</v>
          </cell>
          <cell r="AC40" t="str">
            <v>P</v>
          </cell>
          <cell r="AD40" t="str">
            <v>P</v>
          </cell>
          <cell r="AH40">
            <v>28</v>
          </cell>
          <cell r="AI40">
            <v>16500</v>
          </cell>
        </row>
        <row r="41">
          <cell r="B41" t="str">
            <v>Pandiri Punith kumar</v>
          </cell>
          <cell r="C41" t="str">
            <v>H</v>
          </cell>
          <cell r="D41" t="str">
            <v>P</v>
          </cell>
          <cell r="E41" t="str">
            <v>P</v>
          </cell>
          <cell r="F41" t="str">
            <v>P</v>
          </cell>
          <cell r="G41" t="str">
            <v>P</v>
          </cell>
          <cell r="H41" t="str">
            <v>P</v>
          </cell>
          <cell r="I41" t="str">
            <v>P</v>
          </cell>
          <cell r="J41" t="str">
            <v>H</v>
          </cell>
          <cell r="K41" t="str">
            <v>P</v>
          </cell>
          <cell r="L41" t="str">
            <v>P</v>
          </cell>
          <cell r="M41" t="str">
            <v>P</v>
          </cell>
          <cell r="N41" t="str">
            <v>P</v>
          </cell>
          <cell r="O41" t="str">
            <v>P</v>
          </cell>
          <cell r="P41" t="str">
            <v>P</v>
          </cell>
          <cell r="Q41" t="str">
            <v>H</v>
          </cell>
          <cell r="R41" t="str">
            <v>P</v>
          </cell>
          <cell r="S41" t="str">
            <v>P</v>
          </cell>
          <cell r="T41" t="str">
            <v>P</v>
          </cell>
          <cell r="U41" t="str">
            <v>P</v>
          </cell>
          <cell r="V41" t="str">
            <v>P</v>
          </cell>
          <cell r="W41" t="str">
            <v>P</v>
          </cell>
          <cell r="X41" t="str">
            <v>H</v>
          </cell>
          <cell r="Y41" t="str">
            <v>P</v>
          </cell>
          <cell r="Z41" t="str">
            <v>P</v>
          </cell>
          <cell r="AA41" t="str">
            <v>P</v>
          </cell>
          <cell r="AB41" t="str">
            <v>P</v>
          </cell>
          <cell r="AC41" t="str">
            <v>P</v>
          </cell>
          <cell r="AD41" t="str">
            <v>P</v>
          </cell>
          <cell r="AH41">
            <v>28</v>
          </cell>
          <cell r="AI41">
            <v>16500</v>
          </cell>
        </row>
        <row r="42">
          <cell r="B42" t="str">
            <v>Poojari Ramu</v>
          </cell>
          <cell r="C42" t="str">
            <v>H</v>
          </cell>
          <cell r="D42" t="str">
            <v>L</v>
          </cell>
          <cell r="E42" t="str">
            <v>P</v>
          </cell>
          <cell r="F42" t="str">
            <v>P</v>
          </cell>
          <cell r="G42" t="str">
            <v>P</v>
          </cell>
          <cell r="H42" t="str">
            <v>P</v>
          </cell>
          <cell r="I42" t="str">
            <v>P</v>
          </cell>
          <cell r="J42" t="str">
            <v>H</v>
          </cell>
          <cell r="K42" t="str">
            <v>L</v>
          </cell>
          <cell r="L42" t="str">
            <v>P</v>
          </cell>
          <cell r="M42" t="str">
            <v>P</v>
          </cell>
          <cell r="N42" t="str">
            <v>P</v>
          </cell>
          <cell r="O42" t="str">
            <v>P</v>
          </cell>
          <cell r="P42" t="str">
            <v>P</v>
          </cell>
          <cell r="Q42" t="str">
            <v>H</v>
          </cell>
          <cell r="R42" t="str">
            <v>L</v>
          </cell>
          <cell r="S42" t="str">
            <v>L</v>
          </cell>
          <cell r="T42" t="str">
            <v>P</v>
          </cell>
          <cell r="U42" t="str">
            <v>P</v>
          </cell>
          <cell r="V42" t="str">
            <v>P</v>
          </cell>
          <cell r="W42" t="str">
            <v>P</v>
          </cell>
          <cell r="X42" t="str">
            <v>H</v>
          </cell>
          <cell r="Y42" t="str">
            <v>P</v>
          </cell>
          <cell r="Z42" t="str">
            <v>P</v>
          </cell>
          <cell r="AA42" t="str">
            <v>P</v>
          </cell>
          <cell r="AB42" t="str">
            <v>P</v>
          </cell>
          <cell r="AC42" t="str">
            <v>P</v>
          </cell>
          <cell r="AD42" t="str">
            <v>P</v>
          </cell>
          <cell r="AH42">
            <v>24</v>
          </cell>
          <cell r="AI42">
            <v>14143</v>
          </cell>
        </row>
        <row r="43">
          <cell r="B43" t="str">
            <v>Porandla Chandar</v>
          </cell>
          <cell r="C43" t="str">
            <v>H</v>
          </cell>
          <cell r="D43" t="str">
            <v>P</v>
          </cell>
          <cell r="E43" t="str">
            <v>P</v>
          </cell>
          <cell r="F43" t="str">
            <v>P</v>
          </cell>
          <cell r="G43" t="str">
            <v>P</v>
          </cell>
          <cell r="H43" t="str">
            <v>P</v>
          </cell>
          <cell r="I43" t="str">
            <v>P</v>
          </cell>
          <cell r="J43" t="str">
            <v>H</v>
          </cell>
          <cell r="K43" t="str">
            <v>P</v>
          </cell>
          <cell r="L43" t="str">
            <v>P</v>
          </cell>
          <cell r="M43" t="str">
            <v>L</v>
          </cell>
          <cell r="N43" t="str">
            <v>P</v>
          </cell>
          <cell r="O43" t="str">
            <v>P</v>
          </cell>
          <cell r="P43" t="str">
            <v>P</v>
          </cell>
          <cell r="Q43" t="str">
            <v>H</v>
          </cell>
          <cell r="R43" t="str">
            <v>P</v>
          </cell>
          <cell r="S43" t="str">
            <v>P</v>
          </cell>
          <cell r="T43" t="str">
            <v>P</v>
          </cell>
          <cell r="U43" t="str">
            <v>P</v>
          </cell>
          <cell r="V43" t="str">
            <v>P</v>
          </cell>
          <cell r="W43" t="str">
            <v>P</v>
          </cell>
          <cell r="X43" t="str">
            <v>H</v>
          </cell>
          <cell r="Y43" t="str">
            <v>P</v>
          </cell>
          <cell r="Z43" t="str">
            <v>P</v>
          </cell>
          <cell r="AA43" t="str">
            <v>P</v>
          </cell>
          <cell r="AB43" t="str">
            <v>P</v>
          </cell>
          <cell r="AC43" t="str">
            <v>P</v>
          </cell>
          <cell r="AD43" t="str">
            <v>P</v>
          </cell>
          <cell r="AH43">
            <v>27</v>
          </cell>
          <cell r="AI43">
            <v>15911</v>
          </cell>
        </row>
        <row r="44">
          <cell r="B44" t="str">
            <v>Ramavath Saimahesh Nayak</v>
          </cell>
          <cell r="C44" t="str">
            <v>H</v>
          </cell>
          <cell r="D44" t="str">
            <v>P</v>
          </cell>
          <cell r="E44" t="str">
            <v>P</v>
          </cell>
          <cell r="F44" t="str">
            <v>P</v>
          </cell>
          <cell r="G44" t="str">
            <v>P</v>
          </cell>
          <cell r="H44" t="str">
            <v>P</v>
          </cell>
          <cell r="I44" t="str">
            <v>P</v>
          </cell>
          <cell r="J44" t="str">
            <v>H</v>
          </cell>
          <cell r="K44" t="str">
            <v>L</v>
          </cell>
          <cell r="L44" t="str">
            <v>P</v>
          </cell>
          <cell r="M44" t="str">
            <v>P</v>
          </cell>
          <cell r="N44" t="str">
            <v>P</v>
          </cell>
          <cell r="O44" t="str">
            <v>P</v>
          </cell>
          <cell r="P44" t="str">
            <v>P</v>
          </cell>
          <cell r="Q44" t="str">
            <v>H</v>
          </cell>
          <cell r="R44" t="str">
            <v>P</v>
          </cell>
          <cell r="S44" t="str">
            <v>P</v>
          </cell>
          <cell r="T44" t="str">
            <v>P</v>
          </cell>
          <cell r="U44" t="str">
            <v>P</v>
          </cell>
          <cell r="V44" t="str">
            <v>P</v>
          </cell>
          <cell r="W44" t="str">
            <v>P</v>
          </cell>
          <cell r="X44" t="str">
            <v>H</v>
          </cell>
          <cell r="Y44" t="str">
            <v>P</v>
          </cell>
          <cell r="Z44" t="str">
            <v>P</v>
          </cell>
          <cell r="AA44" t="str">
            <v>P</v>
          </cell>
          <cell r="AB44" t="str">
            <v>P</v>
          </cell>
          <cell r="AC44" t="str">
            <v>P</v>
          </cell>
          <cell r="AD44" t="str">
            <v>P</v>
          </cell>
          <cell r="AH44">
            <v>27</v>
          </cell>
          <cell r="AI44">
            <v>15911</v>
          </cell>
        </row>
        <row r="45">
          <cell r="B45" t="str">
            <v>Ramavath Uma Mahesh</v>
          </cell>
          <cell r="C45" t="str">
            <v>H</v>
          </cell>
          <cell r="D45" t="str">
            <v>P</v>
          </cell>
          <cell r="E45" t="str">
            <v>P</v>
          </cell>
          <cell r="F45" t="str">
            <v>P</v>
          </cell>
          <cell r="G45" t="str">
            <v>P</v>
          </cell>
          <cell r="H45" t="str">
            <v>P</v>
          </cell>
          <cell r="I45" t="str">
            <v>P</v>
          </cell>
          <cell r="J45" t="str">
            <v>H</v>
          </cell>
          <cell r="K45" t="str">
            <v>P</v>
          </cell>
          <cell r="L45" t="str">
            <v>P</v>
          </cell>
          <cell r="M45" t="str">
            <v>P</v>
          </cell>
          <cell r="N45" t="str">
            <v>P</v>
          </cell>
          <cell r="O45" t="str">
            <v>P</v>
          </cell>
          <cell r="P45" t="str">
            <v>P</v>
          </cell>
          <cell r="Q45" t="str">
            <v>H</v>
          </cell>
          <cell r="R45" t="str">
            <v>P</v>
          </cell>
          <cell r="S45" t="str">
            <v>P</v>
          </cell>
          <cell r="T45" t="str">
            <v>P</v>
          </cell>
          <cell r="U45" t="str">
            <v>P</v>
          </cell>
          <cell r="V45" t="str">
            <v>P</v>
          </cell>
          <cell r="W45" t="str">
            <v>P</v>
          </cell>
          <cell r="X45" t="str">
            <v>H</v>
          </cell>
          <cell r="Y45" t="str">
            <v>P</v>
          </cell>
          <cell r="Z45" t="str">
            <v>P</v>
          </cell>
          <cell r="AA45" t="str">
            <v>P</v>
          </cell>
          <cell r="AB45" t="str">
            <v>P</v>
          </cell>
          <cell r="AC45" t="str">
            <v>P</v>
          </cell>
          <cell r="AD45" t="str">
            <v>P</v>
          </cell>
          <cell r="AH45">
            <v>28</v>
          </cell>
          <cell r="AI45">
            <v>16500</v>
          </cell>
        </row>
        <row r="46">
          <cell r="B46" t="str">
            <v>Ranabotu Saidi Reddy</v>
          </cell>
          <cell r="C46" t="str">
            <v>H</v>
          </cell>
          <cell r="D46" t="str">
            <v>P</v>
          </cell>
          <cell r="E46" t="str">
            <v>P</v>
          </cell>
          <cell r="F46" t="str">
            <v>P</v>
          </cell>
          <cell r="G46" t="str">
            <v>L</v>
          </cell>
          <cell r="H46" t="str">
            <v>L</v>
          </cell>
          <cell r="I46" t="str">
            <v>L</v>
          </cell>
          <cell r="J46" t="str">
            <v>H</v>
          </cell>
          <cell r="K46" t="str">
            <v>L</v>
          </cell>
          <cell r="L46" t="str">
            <v>P</v>
          </cell>
          <cell r="M46" t="str">
            <v>P</v>
          </cell>
          <cell r="N46" t="str">
            <v>P</v>
          </cell>
          <cell r="O46" t="str">
            <v>P</v>
          </cell>
          <cell r="P46" t="str">
            <v>P</v>
          </cell>
          <cell r="Q46" t="str">
            <v>H</v>
          </cell>
          <cell r="R46" t="str">
            <v>P</v>
          </cell>
          <cell r="S46" t="str">
            <v>P</v>
          </cell>
          <cell r="T46" t="str">
            <v>P</v>
          </cell>
          <cell r="U46" t="str">
            <v>P</v>
          </cell>
          <cell r="V46" t="str">
            <v>P</v>
          </cell>
          <cell r="W46" t="str">
            <v>P</v>
          </cell>
          <cell r="X46" t="str">
            <v>H</v>
          </cell>
          <cell r="Y46" t="str">
            <v>P</v>
          </cell>
          <cell r="Z46" t="str">
            <v>P</v>
          </cell>
          <cell r="AA46" t="str">
            <v>P</v>
          </cell>
          <cell r="AB46" t="str">
            <v>P</v>
          </cell>
          <cell r="AC46" t="str">
            <v>P</v>
          </cell>
          <cell r="AD46" t="str">
            <v>P</v>
          </cell>
          <cell r="AH46">
            <v>24</v>
          </cell>
          <cell r="AI46">
            <v>14143</v>
          </cell>
        </row>
        <row r="47">
          <cell r="B47" t="str">
            <v>Sadde Sindhura</v>
          </cell>
          <cell r="C47" t="str">
            <v>H</v>
          </cell>
          <cell r="D47" t="str">
            <v>P</v>
          </cell>
          <cell r="E47" t="str">
            <v>L</v>
          </cell>
          <cell r="F47" t="str">
            <v>P</v>
          </cell>
          <cell r="G47" t="str">
            <v>P</v>
          </cell>
          <cell r="H47" t="str">
            <v>P</v>
          </cell>
          <cell r="I47" t="str">
            <v>P</v>
          </cell>
          <cell r="J47" t="str">
            <v>H</v>
          </cell>
          <cell r="K47" t="str">
            <v>P</v>
          </cell>
          <cell r="L47" t="str">
            <v>P</v>
          </cell>
          <cell r="M47" t="str">
            <v>P</v>
          </cell>
          <cell r="N47" t="str">
            <v>P</v>
          </cell>
          <cell r="O47" t="str">
            <v>P</v>
          </cell>
          <cell r="P47" t="str">
            <v>P</v>
          </cell>
          <cell r="Q47" t="str">
            <v>H</v>
          </cell>
          <cell r="R47" t="str">
            <v>L</v>
          </cell>
          <cell r="S47" t="str">
            <v>P</v>
          </cell>
          <cell r="T47" t="str">
            <v>P</v>
          </cell>
          <cell r="U47" t="str">
            <v>P</v>
          </cell>
          <cell r="V47" t="str">
            <v>P</v>
          </cell>
          <cell r="W47" t="str">
            <v>P</v>
          </cell>
          <cell r="X47" t="str">
            <v>H</v>
          </cell>
          <cell r="Y47" t="str">
            <v>P</v>
          </cell>
          <cell r="Z47" t="str">
            <v>P</v>
          </cell>
          <cell r="AA47" t="str">
            <v>P</v>
          </cell>
          <cell r="AB47" t="str">
            <v>P</v>
          </cell>
          <cell r="AC47" t="str">
            <v>P</v>
          </cell>
          <cell r="AD47" t="str">
            <v>P</v>
          </cell>
          <cell r="AH47">
            <v>26</v>
          </cell>
          <cell r="AI47">
            <v>15321</v>
          </cell>
        </row>
        <row r="48">
          <cell r="B48" t="str">
            <v>Shaikh abdul Avesh</v>
          </cell>
          <cell r="C48" t="str">
            <v>H</v>
          </cell>
          <cell r="D48" t="str">
            <v>P</v>
          </cell>
          <cell r="E48" t="str">
            <v>P</v>
          </cell>
          <cell r="F48" t="str">
            <v>P</v>
          </cell>
          <cell r="G48" t="str">
            <v>P</v>
          </cell>
          <cell r="H48" t="str">
            <v>P</v>
          </cell>
          <cell r="I48" t="str">
            <v>P</v>
          </cell>
          <cell r="J48" t="str">
            <v>H</v>
          </cell>
          <cell r="K48" t="str">
            <v>P</v>
          </cell>
          <cell r="L48" t="str">
            <v>P</v>
          </cell>
          <cell r="M48" t="str">
            <v>P</v>
          </cell>
          <cell r="N48" t="str">
            <v>P</v>
          </cell>
          <cell r="O48" t="str">
            <v>P</v>
          </cell>
          <cell r="P48" t="str">
            <v>P</v>
          </cell>
          <cell r="Q48" t="str">
            <v>H</v>
          </cell>
          <cell r="R48" t="str">
            <v>P</v>
          </cell>
          <cell r="S48" t="str">
            <v>P</v>
          </cell>
          <cell r="T48" t="str">
            <v>P</v>
          </cell>
          <cell r="U48" t="str">
            <v>P</v>
          </cell>
          <cell r="V48" t="str">
            <v>P</v>
          </cell>
          <cell r="W48" t="str">
            <v>P</v>
          </cell>
          <cell r="X48" t="str">
            <v>H</v>
          </cell>
          <cell r="Y48" t="str">
            <v>P</v>
          </cell>
          <cell r="Z48" t="str">
            <v>P</v>
          </cell>
          <cell r="AA48" t="str">
            <v>P</v>
          </cell>
          <cell r="AB48" t="str">
            <v>P</v>
          </cell>
          <cell r="AC48" t="str">
            <v>P</v>
          </cell>
          <cell r="AD48" t="str">
            <v>P</v>
          </cell>
          <cell r="AH48">
            <v>28</v>
          </cell>
          <cell r="AI48">
            <v>16500</v>
          </cell>
        </row>
        <row r="49">
          <cell r="B49" t="str">
            <v>Shivarathri Swapna</v>
          </cell>
          <cell r="C49" t="str">
            <v>H</v>
          </cell>
          <cell r="D49" t="str">
            <v>L</v>
          </cell>
          <cell r="E49" t="str">
            <v>P</v>
          </cell>
          <cell r="F49" t="str">
            <v>P</v>
          </cell>
          <cell r="G49" t="str">
            <v>P</v>
          </cell>
          <cell r="H49" t="str">
            <v>P</v>
          </cell>
          <cell r="I49" t="str">
            <v>P</v>
          </cell>
          <cell r="J49" t="str">
            <v>H</v>
          </cell>
          <cell r="K49" t="str">
            <v>P</v>
          </cell>
          <cell r="L49" t="str">
            <v>P</v>
          </cell>
          <cell r="M49" t="str">
            <v>P</v>
          </cell>
          <cell r="N49" t="str">
            <v>P</v>
          </cell>
          <cell r="O49" t="str">
            <v>P</v>
          </cell>
          <cell r="P49" t="str">
            <v>P</v>
          </cell>
          <cell r="Q49" t="str">
            <v>H</v>
          </cell>
          <cell r="R49" t="str">
            <v>L</v>
          </cell>
          <cell r="S49" t="str">
            <v>P</v>
          </cell>
          <cell r="T49" t="str">
            <v>P</v>
          </cell>
          <cell r="U49" t="str">
            <v>P</v>
          </cell>
          <cell r="V49" t="str">
            <v>P</v>
          </cell>
          <cell r="W49" t="str">
            <v>P</v>
          </cell>
          <cell r="X49" t="str">
            <v>H</v>
          </cell>
          <cell r="Y49" t="str">
            <v>P</v>
          </cell>
          <cell r="Z49" t="str">
            <v>P</v>
          </cell>
          <cell r="AA49" t="str">
            <v>P</v>
          </cell>
          <cell r="AB49" t="str">
            <v>P</v>
          </cell>
          <cell r="AC49" t="str">
            <v>P</v>
          </cell>
          <cell r="AD49" t="str">
            <v>P</v>
          </cell>
          <cell r="AH49">
            <v>26</v>
          </cell>
          <cell r="AI49">
            <v>15321</v>
          </cell>
        </row>
        <row r="50">
          <cell r="B50" t="str">
            <v>Tandra Sabastin</v>
          </cell>
          <cell r="C50" t="str">
            <v>H</v>
          </cell>
          <cell r="D50" t="str">
            <v>P</v>
          </cell>
          <cell r="E50" t="str">
            <v>P</v>
          </cell>
          <cell r="F50" t="str">
            <v>P</v>
          </cell>
          <cell r="G50" t="str">
            <v>P</v>
          </cell>
          <cell r="H50" t="str">
            <v>L</v>
          </cell>
          <cell r="I50" t="str">
            <v>P</v>
          </cell>
          <cell r="J50" t="str">
            <v>H</v>
          </cell>
          <cell r="K50" t="str">
            <v>P</v>
          </cell>
          <cell r="L50" t="str">
            <v>P</v>
          </cell>
          <cell r="M50" t="str">
            <v>P</v>
          </cell>
          <cell r="N50" t="str">
            <v>P</v>
          </cell>
          <cell r="O50" t="str">
            <v>P</v>
          </cell>
          <cell r="P50" t="str">
            <v>P</v>
          </cell>
          <cell r="Q50" t="str">
            <v>H</v>
          </cell>
          <cell r="R50" t="str">
            <v>P</v>
          </cell>
          <cell r="S50" t="str">
            <v>P</v>
          </cell>
          <cell r="T50" t="str">
            <v>P</v>
          </cell>
          <cell r="U50" t="str">
            <v>P</v>
          </cell>
          <cell r="V50" t="str">
            <v>P</v>
          </cell>
          <cell r="W50" t="str">
            <v>P</v>
          </cell>
          <cell r="X50" t="str">
            <v>H</v>
          </cell>
          <cell r="Y50" t="str">
            <v>P</v>
          </cell>
          <cell r="Z50" t="str">
            <v>P</v>
          </cell>
          <cell r="AA50" t="str">
            <v>P</v>
          </cell>
          <cell r="AB50" t="str">
            <v>P</v>
          </cell>
          <cell r="AC50" t="str">
            <v>P</v>
          </cell>
          <cell r="AD50" t="str">
            <v>P</v>
          </cell>
          <cell r="AH50">
            <v>27</v>
          </cell>
          <cell r="AI50">
            <v>15911</v>
          </cell>
        </row>
        <row r="51">
          <cell r="B51" t="str">
            <v>Thabasum Afreen</v>
          </cell>
          <cell r="C51" t="str">
            <v>H</v>
          </cell>
          <cell r="D51" t="str">
            <v>P</v>
          </cell>
          <cell r="E51" t="str">
            <v>P</v>
          </cell>
          <cell r="F51" t="str">
            <v>L</v>
          </cell>
          <cell r="G51" t="str">
            <v>P</v>
          </cell>
          <cell r="H51" t="str">
            <v>P</v>
          </cell>
          <cell r="I51" t="str">
            <v>P</v>
          </cell>
          <cell r="J51" t="str">
            <v>H</v>
          </cell>
          <cell r="K51" t="str">
            <v>P</v>
          </cell>
          <cell r="L51" t="str">
            <v>P</v>
          </cell>
          <cell r="M51" t="str">
            <v>P</v>
          </cell>
          <cell r="N51" t="str">
            <v>P</v>
          </cell>
          <cell r="O51" t="str">
            <v>P</v>
          </cell>
          <cell r="P51" t="str">
            <v>P</v>
          </cell>
          <cell r="Q51" t="str">
            <v>H</v>
          </cell>
          <cell r="R51" t="str">
            <v>P</v>
          </cell>
          <cell r="S51" t="str">
            <v>P</v>
          </cell>
          <cell r="T51" t="str">
            <v>P</v>
          </cell>
          <cell r="U51" t="str">
            <v>P</v>
          </cell>
          <cell r="V51" t="str">
            <v>P</v>
          </cell>
          <cell r="W51" t="str">
            <v>P</v>
          </cell>
          <cell r="X51" t="str">
            <v>H</v>
          </cell>
          <cell r="Y51" t="str">
            <v>P</v>
          </cell>
          <cell r="Z51" t="str">
            <v>P</v>
          </cell>
          <cell r="AA51" t="str">
            <v>P</v>
          </cell>
          <cell r="AB51" t="str">
            <v>P</v>
          </cell>
          <cell r="AC51" t="str">
            <v>P</v>
          </cell>
          <cell r="AD51" t="str">
            <v>P</v>
          </cell>
          <cell r="AH51">
            <v>27</v>
          </cell>
          <cell r="AI51">
            <v>15911</v>
          </cell>
        </row>
        <row r="52">
          <cell r="B52" t="str">
            <v>Thatipally Manoj Kumar</v>
          </cell>
          <cell r="C52" t="str">
            <v>H</v>
          </cell>
          <cell r="D52" t="str">
            <v>P</v>
          </cell>
          <cell r="E52" t="str">
            <v>P</v>
          </cell>
          <cell r="F52" t="str">
            <v>P</v>
          </cell>
          <cell r="G52" t="str">
            <v>P</v>
          </cell>
          <cell r="H52" t="str">
            <v>P</v>
          </cell>
          <cell r="I52" t="str">
            <v>P</v>
          </cell>
          <cell r="J52" t="str">
            <v>H</v>
          </cell>
          <cell r="K52" t="str">
            <v>P</v>
          </cell>
          <cell r="L52" t="str">
            <v>P</v>
          </cell>
          <cell r="M52" t="str">
            <v>P</v>
          </cell>
          <cell r="N52" t="str">
            <v>P</v>
          </cell>
          <cell r="O52" t="str">
            <v>P</v>
          </cell>
          <cell r="P52" t="str">
            <v>P</v>
          </cell>
          <cell r="Q52" t="str">
            <v>H</v>
          </cell>
          <cell r="R52" t="str">
            <v>P</v>
          </cell>
          <cell r="S52" t="str">
            <v>P</v>
          </cell>
          <cell r="T52" t="str">
            <v>P</v>
          </cell>
          <cell r="U52" t="str">
            <v>P</v>
          </cell>
          <cell r="V52" t="str">
            <v>P</v>
          </cell>
          <cell r="W52" t="str">
            <v>P</v>
          </cell>
          <cell r="X52" t="str">
            <v>H</v>
          </cell>
          <cell r="Y52" t="str">
            <v>P</v>
          </cell>
          <cell r="Z52" t="str">
            <v>P</v>
          </cell>
          <cell r="AA52" t="str">
            <v>P</v>
          </cell>
          <cell r="AB52" t="str">
            <v>P</v>
          </cell>
          <cell r="AC52" t="str">
            <v>P</v>
          </cell>
          <cell r="AD52" t="str">
            <v>P</v>
          </cell>
          <cell r="AH52">
            <v>28</v>
          </cell>
          <cell r="AI52">
            <v>16500</v>
          </cell>
        </row>
        <row r="53">
          <cell r="B53" t="str">
            <v>Thurpati vijay Bhaskar</v>
          </cell>
          <cell r="C53" t="str">
            <v>H</v>
          </cell>
          <cell r="D53" t="str">
            <v>P</v>
          </cell>
          <cell r="E53" t="str">
            <v>P</v>
          </cell>
          <cell r="F53" t="str">
            <v>P</v>
          </cell>
          <cell r="G53" t="str">
            <v>P</v>
          </cell>
          <cell r="H53" t="str">
            <v>P</v>
          </cell>
          <cell r="I53" t="str">
            <v>P</v>
          </cell>
          <cell r="J53" t="str">
            <v>H</v>
          </cell>
          <cell r="K53" t="str">
            <v>P</v>
          </cell>
          <cell r="L53" t="str">
            <v>P</v>
          </cell>
          <cell r="M53" t="str">
            <v>P</v>
          </cell>
          <cell r="N53" t="str">
            <v>P</v>
          </cell>
          <cell r="O53" t="str">
            <v>P</v>
          </cell>
          <cell r="P53" t="str">
            <v>P</v>
          </cell>
          <cell r="Q53" t="str">
            <v>H</v>
          </cell>
          <cell r="R53" t="str">
            <v>P</v>
          </cell>
          <cell r="S53" t="str">
            <v>P</v>
          </cell>
          <cell r="T53" t="str">
            <v>L</v>
          </cell>
          <cell r="U53" t="str">
            <v>L</v>
          </cell>
          <cell r="V53" t="str">
            <v>L</v>
          </cell>
          <cell r="W53" t="str">
            <v>L</v>
          </cell>
          <cell r="X53" t="str">
            <v>H</v>
          </cell>
          <cell r="Y53" t="str">
            <v>P</v>
          </cell>
          <cell r="Z53" t="str">
            <v>P</v>
          </cell>
          <cell r="AA53" t="str">
            <v>P</v>
          </cell>
          <cell r="AB53" t="str">
            <v>P</v>
          </cell>
          <cell r="AC53" t="str">
            <v>P</v>
          </cell>
          <cell r="AD53" t="str">
            <v>L</v>
          </cell>
          <cell r="AH53">
            <v>23</v>
          </cell>
          <cell r="AI53">
            <v>13554</v>
          </cell>
        </row>
        <row r="54">
          <cell r="B54" t="str">
            <v>Ushanolla Ravali</v>
          </cell>
          <cell r="C54" t="str">
            <v>H</v>
          </cell>
          <cell r="D54" t="str">
            <v>P</v>
          </cell>
          <cell r="E54" t="str">
            <v>P</v>
          </cell>
          <cell r="F54" t="str">
            <v>P</v>
          </cell>
          <cell r="G54" t="str">
            <v>P</v>
          </cell>
          <cell r="H54" t="str">
            <v>L</v>
          </cell>
          <cell r="I54" t="str">
            <v>P</v>
          </cell>
          <cell r="J54" t="str">
            <v>H</v>
          </cell>
          <cell r="K54" t="str">
            <v>P</v>
          </cell>
          <cell r="L54" t="str">
            <v>P</v>
          </cell>
          <cell r="M54" t="str">
            <v>P</v>
          </cell>
          <cell r="N54" t="str">
            <v>P</v>
          </cell>
          <cell r="O54" t="str">
            <v>P</v>
          </cell>
          <cell r="P54" t="str">
            <v>P</v>
          </cell>
          <cell r="Q54" t="str">
            <v>H</v>
          </cell>
          <cell r="R54" t="str">
            <v>P</v>
          </cell>
          <cell r="S54" t="str">
            <v>P</v>
          </cell>
          <cell r="T54" t="str">
            <v>P</v>
          </cell>
          <cell r="U54" t="str">
            <v>P</v>
          </cell>
          <cell r="V54" t="str">
            <v>P</v>
          </cell>
          <cell r="W54" t="str">
            <v>P</v>
          </cell>
          <cell r="X54" t="str">
            <v>H</v>
          </cell>
          <cell r="Y54" t="str">
            <v>P</v>
          </cell>
          <cell r="Z54" t="str">
            <v>P</v>
          </cell>
          <cell r="AA54" t="str">
            <v>P</v>
          </cell>
          <cell r="AB54" t="str">
            <v>P</v>
          </cell>
          <cell r="AC54" t="str">
            <v>P</v>
          </cell>
          <cell r="AD54" t="str">
            <v>P</v>
          </cell>
          <cell r="AH54">
            <v>27</v>
          </cell>
          <cell r="AI54">
            <v>15911</v>
          </cell>
        </row>
        <row r="55">
          <cell r="B55" t="str">
            <v>Ushanula Ramya</v>
          </cell>
          <cell r="C55" t="str">
            <v>H</v>
          </cell>
          <cell r="D55" t="str">
            <v>P</v>
          </cell>
          <cell r="E55" t="str">
            <v>P</v>
          </cell>
          <cell r="F55" t="str">
            <v>P</v>
          </cell>
          <cell r="G55" t="str">
            <v>P</v>
          </cell>
          <cell r="H55" t="str">
            <v>P</v>
          </cell>
          <cell r="I55" t="str">
            <v>P</v>
          </cell>
          <cell r="J55" t="str">
            <v>H</v>
          </cell>
          <cell r="K55" t="str">
            <v>P</v>
          </cell>
          <cell r="L55" t="str">
            <v>P</v>
          </cell>
          <cell r="M55" t="str">
            <v>P</v>
          </cell>
          <cell r="N55" t="str">
            <v>P</v>
          </cell>
          <cell r="O55" t="str">
            <v>P</v>
          </cell>
          <cell r="P55" t="str">
            <v>P</v>
          </cell>
          <cell r="Q55" t="str">
            <v>H</v>
          </cell>
          <cell r="R55" t="str">
            <v>L</v>
          </cell>
          <cell r="S55" t="str">
            <v>P</v>
          </cell>
          <cell r="T55" t="str">
            <v>P</v>
          </cell>
          <cell r="U55" t="str">
            <v>P</v>
          </cell>
          <cell r="V55" t="str">
            <v>P</v>
          </cell>
          <cell r="W55" t="str">
            <v>P</v>
          </cell>
          <cell r="X55" t="str">
            <v>H</v>
          </cell>
          <cell r="Y55" t="str">
            <v>P</v>
          </cell>
          <cell r="Z55" t="str">
            <v>P</v>
          </cell>
          <cell r="AA55" t="str">
            <v>P</v>
          </cell>
          <cell r="AB55" t="str">
            <v>P</v>
          </cell>
          <cell r="AC55" t="str">
            <v>P</v>
          </cell>
          <cell r="AD55" t="str">
            <v>P</v>
          </cell>
          <cell r="AH55">
            <v>27</v>
          </cell>
          <cell r="AI55">
            <v>15911</v>
          </cell>
        </row>
        <row r="56">
          <cell r="B56" t="str">
            <v>Chejerla Nagavamsidhar Reddy</v>
          </cell>
          <cell r="C56" t="str">
            <v>-</v>
          </cell>
          <cell r="D56" t="str">
            <v>P</v>
          </cell>
          <cell r="E56" t="str">
            <v>P</v>
          </cell>
          <cell r="F56" t="str">
            <v>P</v>
          </cell>
          <cell r="G56" t="str">
            <v>P</v>
          </cell>
          <cell r="H56" t="str">
            <v>P</v>
          </cell>
          <cell r="I56" t="str">
            <v>P</v>
          </cell>
          <cell r="J56" t="str">
            <v>H</v>
          </cell>
          <cell r="K56" t="str">
            <v>P</v>
          </cell>
          <cell r="L56" t="str">
            <v>P</v>
          </cell>
          <cell r="M56" t="str">
            <v>P</v>
          </cell>
          <cell r="N56" t="str">
            <v>P</v>
          </cell>
          <cell r="O56" t="str">
            <v>P</v>
          </cell>
          <cell r="P56" t="str">
            <v>P</v>
          </cell>
          <cell r="Q56" t="str">
            <v>H</v>
          </cell>
          <cell r="R56" t="str">
            <v>P</v>
          </cell>
          <cell r="S56" t="str">
            <v>P</v>
          </cell>
          <cell r="T56" t="str">
            <v>P</v>
          </cell>
          <cell r="U56" t="str">
            <v>P</v>
          </cell>
          <cell r="V56" t="str">
            <v>P</v>
          </cell>
          <cell r="W56" t="str">
            <v>P</v>
          </cell>
          <cell r="X56" t="str">
            <v>H</v>
          </cell>
          <cell r="Y56" t="str">
            <v>P</v>
          </cell>
          <cell r="Z56" t="str">
            <v>P</v>
          </cell>
          <cell r="AA56" t="str">
            <v>P</v>
          </cell>
          <cell r="AB56" t="str">
            <v>P</v>
          </cell>
          <cell r="AC56" t="str">
            <v>P</v>
          </cell>
          <cell r="AD56" t="str">
            <v>P</v>
          </cell>
          <cell r="AH56">
            <v>27</v>
          </cell>
          <cell r="AI56">
            <v>15911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C0551-319B-4971-BFF3-8B317307AA71}">
  <dimension ref="A1:BE57"/>
  <sheetViews>
    <sheetView tabSelected="1" zoomScale="49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5" sqref="A5:XFD5"/>
    </sheetView>
  </sheetViews>
  <sheetFormatPr defaultColWidth="9.21875" defaultRowHeight="17.100000000000001" customHeight="1" x14ac:dyDescent="0.3"/>
  <cols>
    <col min="1" max="1" width="5.21875" bestFit="1" customWidth="1"/>
    <col min="2" max="2" width="26.77734375" bestFit="1" customWidth="1"/>
    <col min="3" max="3" width="6" customWidth="1"/>
    <col min="4" max="32" width="5.77734375" customWidth="1"/>
    <col min="33" max="53" width="14.44140625" customWidth="1"/>
    <col min="54" max="55" width="17.21875" customWidth="1"/>
    <col min="56" max="56" width="17.77734375" customWidth="1"/>
    <col min="57" max="57" width="14.44140625" customWidth="1"/>
  </cols>
  <sheetData>
    <row r="1" spans="1:57" ht="17.100000000000001" customHeight="1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  <c r="AF1" s="3"/>
      <c r="AG1" s="4" t="s">
        <v>1</v>
      </c>
      <c r="AH1" s="4" t="s">
        <v>2</v>
      </c>
      <c r="AI1" s="4" t="s">
        <v>3</v>
      </c>
      <c r="AJ1" s="4" t="s">
        <v>4</v>
      </c>
      <c r="AK1" s="4" t="s">
        <v>5</v>
      </c>
      <c r="AL1" s="4" t="s">
        <v>6</v>
      </c>
      <c r="AM1" s="4" t="s">
        <v>7</v>
      </c>
      <c r="AN1" s="4" t="s">
        <v>8</v>
      </c>
      <c r="AO1" s="4" t="s">
        <v>9</v>
      </c>
      <c r="AP1" s="4" t="s">
        <v>10</v>
      </c>
      <c r="AQ1" s="4" t="s">
        <v>11</v>
      </c>
      <c r="AR1" s="4" t="s">
        <v>12</v>
      </c>
      <c r="AS1" s="4" t="s">
        <v>13</v>
      </c>
      <c r="AT1" s="4" t="s">
        <v>14</v>
      </c>
      <c r="AU1" s="4" t="s">
        <v>15</v>
      </c>
      <c r="AV1" s="4" t="s">
        <v>16</v>
      </c>
      <c r="AW1" s="4" t="s">
        <v>17</v>
      </c>
      <c r="AX1" s="4" t="s">
        <v>18</v>
      </c>
      <c r="AY1" s="4" t="s">
        <v>19</v>
      </c>
      <c r="AZ1" s="4" t="s">
        <v>20</v>
      </c>
      <c r="BA1" s="4" t="s">
        <v>21</v>
      </c>
      <c r="BB1" s="4" t="s">
        <v>22</v>
      </c>
      <c r="BC1" s="4" t="s">
        <v>23</v>
      </c>
      <c r="BD1" s="4" t="s">
        <v>24</v>
      </c>
      <c r="BE1" s="5" t="s">
        <v>25</v>
      </c>
    </row>
    <row r="2" spans="1:57" ht="17.100000000000001" customHeight="1" x14ac:dyDescent="0.35">
      <c r="A2" s="6" t="s">
        <v>26</v>
      </c>
      <c r="B2" s="7" t="s">
        <v>27</v>
      </c>
      <c r="C2" s="8">
        <f>[1]Attendance!C2</f>
        <v>46054</v>
      </c>
      <c r="D2" s="8">
        <f>[1]Attendance!D2</f>
        <v>46055</v>
      </c>
      <c r="E2" s="8">
        <f>[1]Attendance!E2</f>
        <v>46056</v>
      </c>
      <c r="F2" s="8">
        <f>[1]Attendance!F2</f>
        <v>46057</v>
      </c>
      <c r="G2" s="8">
        <f>[1]Attendance!G2</f>
        <v>46058</v>
      </c>
      <c r="H2" s="8">
        <f>[1]Attendance!H2</f>
        <v>46059</v>
      </c>
      <c r="I2" s="8">
        <f>[1]Attendance!I2</f>
        <v>46060</v>
      </c>
      <c r="J2" s="8">
        <f>[1]Attendance!J2</f>
        <v>46061</v>
      </c>
      <c r="K2" s="8">
        <f>[1]Attendance!K2</f>
        <v>46062</v>
      </c>
      <c r="L2" s="8">
        <f>[1]Attendance!L2</f>
        <v>46063</v>
      </c>
      <c r="M2" s="8">
        <f>[1]Attendance!M2</f>
        <v>46064</v>
      </c>
      <c r="N2" s="8">
        <f>[1]Attendance!N2</f>
        <v>46065</v>
      </c>
      <c r="O2" s="8">
        <f>[1]Attendance!O2</f>
        <v>46066</v>
      </c>
      <c r="P2" s="8">
        <f>[1]Attendance!P2</f>
        <v>46067</v>
      </c>
      <c r="Q2" s="8">
        <f>[1]Attendance!Q2</f>
        <v>46068</v>
      </c>
      <c r="R2" s="8">
        <f>[1]Attendance!R2</f>
        <v>46069</v>
      </c>
      <c r="S2" s="8">
        <f>[1]Attendance!S2</f>
        <v>46070</v>
      </c>
      <c r="T2" s="8">
        <f>[1]Attendance!T2</f>
        <v>46071</v>
      </c>
      <c r="U2" s="8">
        <f>[1]Attendance!U2</f>
        <v>46072</v>
      </c>
      <c r="V2" s="8">
        <f>[1]Attendance!V2</f>
        <v>46073</v>
      </c>
      <c r="W2" s="8">
        <f>[1]Attendance!W2</f>
        <v>46074</v>
      </c>
      <c r="X2" s="8">
        <f>[1]Attendance!X2</f>
        <v>46075</v>
      </c>
      <c r="Y2" s="8">
        <f>[1]Attendance!Y2</f>
        <v>46076</v>
      </c>
      <c r="Z2" s="8">
        <f>[1]Attendance!Z2</f>
        <v>46077</v>
      </c>
      <c r="AA2" s="8">
        <f>[1]Attendance!AA2</f>
        <v>46078</v>
      </c>
      <c r="AB2" s="8">
        <f>[1]Attendance!AB2</f>
        <v>46079</v>
      </c>
      <c r="AC2" s="8">
        <f>[1]Attendance!AC2</f>
        <v>46080</v>
      </c>
      <c r="AD2" s="8">
        <f>[1]Attendance!AD2</f>
        <v>46081</v>
      </c>
      <c r="AE2" s="9"/>
      <c r="AF2" s="10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5"/>
    </row>
    <row r="3" spans="1:57" ht="17.100000000000001" customHeight="1" x14ac:dyDescent="0.3">
      <c r="A3" s="11"/>
      <c r="B3" s="12"/>
      <c r="C3" s="13" t="str">
        <f>TEXT(C2,"ddd")</f>
        <v>Sun</v>
      </c>
      <c r="D3" s="13" t="str">
        <f t="shared" ref="D3:AD3" si="0">TEXT(D2,"ddd")</f>
        <v>Mon</v>
      </c>
      <c r="E3" s="13" t="str">
        <f t="shared" si="0"/>
        <v>Tue</v>
      </c>
      <c r="F3" s="13" t="str">
        <f t="shared" si="0"/>
        <v>Wed</v>
      </c>
      <c r="G3" s="13" t="str">
        <f t="shared" si="0"/>
        <v>Thu</v>
      </c>
      <c r="H3" s="13" t="str">
        <f t="shared" si="0"/>
        <v>Fri</v>
      </c>
      <c r="I3" s="13" t="str">
        <f t="shared" si="0"/>
        <v>Sat</v>
      </c>
      <c r="J3" s="13" t="str">
        <f t="shared" si="0"/>
        <v>Sun</v>
      </c>
      <c r="K3" s="13" t="str">
        <f t="shared" si="0"/>
        <v>Mon</v>
      </c>
      <c r="L3" s="13" t="str">
        <f t="shared" si="0"/>
        <v>Tue</v>
      </c>
      <c r="M3" s="13" t="str">
        <f t="shared" si="0"/>
        <v>Wed</v>
      </c>
      <c r="N3" s="13" t="str">
        <f t="shared" si="0"/>
        <v>Thu</v>
      </c>
      <c r="O3" s="13" t="str">
        <f t="shared" si="0"/>
        <v>Fri</v>
      </c>
      <c r="P3" s="13" t="str">
        <f t="shared" si="0"/>
        <v>Sat</v>
      </c>
      <c r="Q3" s="13" t="str">
        <f t="shared" si="0"/>
        <v>Sun</v>
      </c>
      <c r="R3" s="13" t="str">
        <f t="shared" si="0"/>
        <v>Mon</v>
      </c>
      <c r="S3" s="13" t="str">
        <f t="shared" si="0"/>
        <v>Tue</v>
      </c>
      <c r="T3" s="13" t="str">
        <f t="shared" si="0"/>
        <v>Wed</v>
      </c>
      <c r="U3" s="13" t="str">
        <f t="shared" si="0"/>
        <v>Thu</v>
      </c>
      <c r="V3" s="13" t="str">
        <f t="shared" si="0"/>
        <v>Fri</v>
      </c>
      <c r="W3" s="13" t="str">
        <f t="shared" si="0"/>
        <v>Sat</v>
      </c>
      <c r="X3" s="13" t="str">
        <f t="shared" si="0"/>
        <v>Sun</v>
      </c>
      <c r="Y3" s="13" t="str">
        <f t="shared" si="0"/>
        <v>Mon</v>
      </c>
      <c r="Z3" s="13" t="str">
        <f t="shared" si="0"/>
        <v>Tue</v>
      </c>
      <c r="AA3" s="13" t="str">
        <f t="shared" si="0"/>
        <v>Wed</v>
      </c>
      <c r="AB3" s="13" t="str">
        <f t="shared" si="0"/>
        <v>Thu</v>
      </c>
      <c r="AC3" s="13" t="str">
        <f t="shared" si="0"/>
        <v>Fri</v>
      </c>
      <c r="AD3" s="13" t="str">
        <f t="shared" si="0"/>
        <v>Sat</v>
      </c>
      <c r="AE3" s="14"/>
      <c r="AF3" s="15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5"/>
    </row>
    <row r="4" spans="1:57" ht="17.100000000000001" customHeight="1" x14ac:dyDescent="0.35">
      <c r="A4" s="16">
        <v>1</v>
      </c>
      <c r="B4" s="17" t="str">
        <f>[1]Attendance!B4</f>
        <v>Ahmed Azam</v>
      </c>
      <c r="C4" s="18" t="str">
        <f>[1]Attendance!C4</f>
        <v>H</v>
      </c>
      <c r="D4" s="18" t="str">
        <f>[1]Attendance!D4</f>
        <v>P</v>
      </c>
      <c r="E4" s="18" t="str">
        <f>[1]Attendance!E4</f>
        <v>L</v>
      </c>
      <c r="F4" s="18" t="str">
        <f>[1]Attendance!F4</f>
        <v>L</v>
      </c>
      <c r="G4" s="18" t="str">
        <f>[1]Attendance!G4</f>
        <v>p</v>
      </c>
      <c r="H4" s="18" t="str">
        <f>[1]Attendance!H4</f>
        <v>p</v>
      </c>
      <c r="I4" s="18" t="str">
        <f>[1]Attendance!I4</f>
        <v>p</v>
      </c>
      <c r="J4" s="18" t="str">
        <f>[1]Attendance!J4</f>
        <v>H</v>
      </c>
      <c r="K4" s="18" t="str">
        <f>[1]Attendance!K4</f>
        <v>P</v>
      </c>
      <c r="L4" s="18" t="str">
        <f>[1]Attendance!L4</f>
        <v>P</v>
      </c>
      <c r="M4" s="18" t="str">
        <f>[1]Attendance!M4</f>
        <v>L</v>
      </c>
      <c r="N4" s="18" t="str">
        <f>[1]Attendance!N4</f>
        <v>P</v>
      </c>
      <c r="O4" s="18" t="str">
        <f>[1]Attendance!O4</f>
        <v>P</v>
      </c>
      <c r="P4" s="18" t="str">
        <f>[1]Attendance!P4</f>
        <v>L</v>
      </c>
      <c r="Q4" s="18" t="str">
        <f>[1]Attendance!Q4</f>
        <v>H</v>
      </c>
      <c r="R4" s="18" t="str">
        <f>[1]Attendance!R4</f>
        <v>L</v>
      </c>
      <c r="S4" s="18" t="str">
        <f>[1]Attendance!S4</f>
        <v>P</v>
      </c>
      <c r="T4" s="18" t="str">
        <f>[1]Attendance!T4</f>
        <v>L</v>
      </c>
      <c r="U4" s="18" t="str">
        <f>[1]Attendance!U4</f>
        <v>P</v>
      </c>
      <c r="V4" s="18" t="str">
        <f>[1]Attendance!V4</f>
        <v>P</v>
      </c>
      <c r="W4" s="18" t="str">
        <f>[1]Attendance!W4</f>
        <v>P</v>
      </c>
      <c r="X4" s="18" t="str">
        <f>[1]Attendance!X4</f>
        <v>H</v>
      </c>
      <c r="Y4" s="18" t="str">
        <f>[1]Attendance!Y4</f>
        <v>P</v>
      </c>
      <c r="Z4" s="18" t="str">
        <f>[1]Attendance!Z4</f>
        <v>P</v>
      </c>
      <c r="AA4" s="18" t="str">
        <f>[1]Attendance!AA4</f>
        <v>P</v>
      </c>
      <c r="AB4" s="18" t="str">
        <f>[1]Attendance!AB4</f>
        <v>P</v>
      </c>
      <c r="AC4" s="18" t="str">
        <f>[1]Attendance!AC4</f>
        <v>P</v>
      </c>
      <c r="AD4" s="18" t="str">
        <f>[1]Attendance!AD4</f>
        <v>P</v>
      </c>
      <c r="AE4" s="19">
        <f>[1]Attendance!AI4/[1]Attendance!AH4</f>
        <v>589.27272727272725</v>
      </c>
      <c r="AF4" s="19">
        <f t="shared" ref="AF4:AF56" si="1">(COUNTIF(C4:AD4,"P")+COUNTIF(C4:AD4,"H"))</f>
        <v>22</v>
      </c>
      <c r="AG4" s="20">
        <v>0</v>
      </c>
      <c r="AH4" s="20">
        <v>0</v>
      </c>
      <c r="AI4" s="20">
        <v>0</v>
      </c>
      <c r="AJ4" s="20">
        <f>AE4*AF4</f>
        <v>12964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f t="shared" ref="BE4:BE56" si="2">ROUND(SUM(AG4:BD4),0)</f>
        <v>12964</v>
      </c>
    </row>
    <row r="5" spans="1:57" ht="17.100000000000001" customHeight="1" x14ac:dyDescent="0.35">
      <c r="A5" s="21">
        <v>2</v>
      </c>
      <c r="B5" s="17" t="str">
        <f>[1]Attendance!B5</f>
        <v>Anand Ganesh Chopade</v>
      </c>
      <c r="C5" s="18" t="str">
        <f>[1]Attendance!C5</f>
        <v>H</v>
      </c>
      <c r="D5" s="18" t="str">
        <f>[1]Attendance!D5</f>
        <v>P</v>
      </c>
      <c r="E5" s="18" t="str">
        <f>[1]Attendance!E5</f>
        <v>P</v>
      </c>
      <c r="F5" s="18" t="str">
        <f>[1]Attendance!F5</f>
        <v>P</v>
      </c>
      <c r="G5" s="18" t="str">
        <f>[1]Attendance!G5</f>
        <v>p</v>
      </c>
      <c r="H5" s="18" t="str">
        <f>[1]Attendance!H5</f>
        <v>p</v>
      </c>
      <c r="I5" s="18" t="str">
        <f>[1]Attendance!I5</f>
        <v>p</v>
      </c>
      <c r="J5" s="18" t="str">
        <f>[1]Attendance!J5</f>
        <v>H</v>
      </c>
      <c r="K5" s="18" t="str">
        <f>[1]Attendance!K5</f>
        <v>P</v>
      </c>
      <c r="L5" s="18" t="str">
        <f>[1]Attendance!L5</f>
        <v>P</v>
      </c>
      <c r="M5" s="18" t="str">
        <f>[1]Attendance!M5</f>
        <v>P</v>
      </c>
      <c r="N5" s="18" t="str">
        <f>[1]Attendance!N5</f>
        <v>P</v>
      </c>
      <c r="O5" s="18" t="str">
        <f>[1]Attendance!O5</f>
        <v>P</v>
      </c>
      <c r="P5" s="18" t="str">
        <f>[1]Attendance!P5</f>
        <v>P</v>
      </c>
      <c r="Q5" s="18" t="str">
        <f>[1]Attendance!Q5</f>
        <v>H</v>
      </c>
      <c r="R5" s="18" t="str">
        <f>[1]Attendance!R5</f>
        <v>P</v>
      </c>
      <c r="S5" s="18" t="str">
        <f>[1]Attendance!S5</f>
        <v>P</v>
      </c>
      <c r="T5" s="18" t="str">
        <f>[1]Attendance!T5</f>
        <v>P</v>
      </c>
      <c r="U5" s="18" t="str">
        <f>[1]Attendance!U5</f>
        <v>P</v>
      </c>
      <c r="V5" s="18" t="str">
        <f>[1]Attendance!V5</f>
        <v>P</v>
      </c>
      <c r="W5" s="18" t="str">
        <f>[1]Attendance!W5</f>
        <v>P</v>
      </c>
      <c r="X5" s="18" t="str">
        <f>[1]Attendance!X5</f>
        <v>H</v>
      </c>
      <c r="Y5" s="18" t="str">
        <f>[1]Attendance!Y5</f>
        <v>P</v>
      </c>
      <c r="Z5" s="18" t="str">
        <f>[1]Attendance!Z5</f>
        <v>P</v>
      </c>
      <c r="AA5" s="18" t="str">
        <f>[1]Attendance!AA5</f>
        <v>P</v>
      </c>
      <c r="AB5" s="18" t="str">
        <f>[1]Attendance!AB5</f>
        <v>P</v>
      </c>
      <c r="AC5" s="18" t="str">
        <f>[1]Attendance!AC5</f>
        <v>P</v>
      </c>
      <c r="AD5" s="18" t="str">
        <f>[1]Attendance!AD5</f>
        <v>P</v>
      </c>
      <c r="AE5" s="19">
        <f>[1]Attendance!AI5/[1]Attendance!AH5</f>
        <v>589.28571428571433</v>
      </c>
      <c r="AF5" s="19">
        <f t="shared" si="1"/>
        <v>28</v>
      </c>
      <c r="AG5" s="20">
        <v>0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f>AE5*AF5</f>
        <v>16500</v>
      </c>
      <c r="BD5" s="20">
        <v>0</v>
      </c>
      <c r="BE5" s="20">
        <f t="shared" si="2"/>
        <v>16500</v>
      </c>
    </row>
    <row r="6" spans="1:57" ht="17.100000000000001" customHeight="1" x14ac:dyDescent="0.35">
      <c r="A6" s="16">
        <v>3</v>
      </c>
      <c r="B6" s="17" t="str">
        <f>[1]Attendance!B6</f>
        <v>Arundathi Jalagam</v>
      </c>
      <c r="C6" s="18" t="str">
        <f>[1]Attendance!C6</f>
        <v>H</v>
      </c>
      <c r="D6" s="18" t="str">
        <f>[1]Attendance!D6</f>
        <v>P</v>
      </c>
      <c r="E6" s="18" t="str">
        <f>[1]Attendance!E6</f>
        <v>P</v>
      </c>
      <c r="F6" s="18" t="str">
        <f>[1]Attendance!F6</f>
        <v>P</v>
      </c>
      <c r="G6" s="18" t="str">
        <f>[1]Attendance!G6</f>
        <v>p</v>
      </c>
      <c r="H6" s="18" t="str">
        <f>[1]Attendance!H6</f>
        <v>p</v>
      </c>
      <c r="I6" s="18" t="str">
        <f>[1]Attendance!I6</f>
        <v>p</v>
      </c>
      <c r="J6" s="18" t="str">
        <f>[1]Attendance!J6</f>
        <v>H</v>
      </c>
      <c r="K6" s="18" t="str">
        <f>[1]Attendance!K6</f>
        <v>P</v>
      </c>
      <c r="L6" s="18" t="str">
        <f>[1]Attendance!L6</f>
        <v>P</v>
      </c>
      <c r="M6" s="18" t="str">
        <f>[1]Attendance!M6</f>
        <v>P</v>
      </c>
      <c r="N6" s="18" t="str">
        <f>[1]Attendance!N6</f>
        <v>P</v>
      </c>
      <c r="O6" s="18" t="str">
        <f>[1]Attendance!O6</f>
        <v>P</v>
      </c>
      <c r="P6" s="18" t="str">
        <f>[1]Attendance!P6</f>
        <v>P</v>
      </c>
      <c r="Q6" s="18" t="str">
        <f>[1]Attendance!Q6</f>
        <v>H</v>
      </c>
      <c r="R6" s="18" t="str">
        <f>[1]Attendance!R6</f>
        <v>L</v>
      </c>
      <c r="S6" s="18" t="str">
        <f>[1]Attendance!S6</f>
        <v>P</v>
      </c>
      <c r="T6" s="18" t="str">
        <f>[1]Attendance!T6</f>
        <v>P</v>
      </c>
      <c r="U6" s="18" t="str">
        <f>[1]Attendance!U6</f>
        <v>P</v>
      </c>
      <c r="V6" s="18" t="str">
        <f>[1]Attendance!V6</f>
        <v>P</v>
      </c>
      <c r="W6" s="18" t="str">
        <f>[1]Attendance!W6</f>
        <v>P</v>
      </c>
      <c r="X6" s="18" t="str">
        <f>[1]Attendance!X6</f>
        <v>H</v>
      </c>
      <c r="Y6" s="18" t="str">
        <f>[1]Attendance!Y6</f>
        <v>P</v>
      </c>
      <c r="Z6" s="18" t="str">
        <f>[1]Attendance!Z6</f>
        <v>P</v>
      </c>
      <c r="AA6" s="18" t="str">
        <f>[1]Attendance!AA6</f>
        <v>P</v>
      </c>
      <c r="AB6" s="18" t="str">
        <f>[1]Attendance!AB6</f>
        <v>P</v>
      </c>
      <c r="AC6" s="18" t="str">
        <f>[1]Attendance!AC6</f>
        <v>P</v>
      </c>
      <c r="AD6" s="18" t="str">
        <f>[1]Attendance!AD6</f>
        <v>P</v>
      </c>
      <c r="AE6" s="19">
        <f>[1]Attendance!AI6/[1]Attendance!AH6</f>
        <v>589.2962962962963</v>
      </c>
      <c r="AF6" s="19">
        <f t="shared" si="1"/>
        <v>27</v>
      </c>
      <c r="AG6" s="20">
        <v>0</v>
      </c>
      <c r="AH6" s="20">
        <v>0</v>
      </c>
      <c r="AI6" s="20">
        <f>AE6*13</f>
        <v>7660.8518518518522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f>AE6*14</f>
        <v>8250.1481481481478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f t="shared" si="2"/>
        <v>15911</v>
      </c>
    </row>
    <row r="7" spans="1:57" ht="17.100000000000001" customHeight="1" x14ac:dyDescent="0.35">
      <c r="A7" s="21">
        <v>4</v>
      </c>
      <c r="B7" s="17" t="str">
        <f>[1]Attendance!B7</f>
        <v>Bonagiri Rehana</v>
      </c>
      <c r="C7" s="18" t="str">
        <f>[1]Attendance!C7</f>
        <v>H</v>
      </c>
      <c r="D7" s="18" t="str">
        <f>[1]Attendance!D7</f>
        <v>P</v>
      </c>
      <c r="E7" s="18" t="str">
        <f>[1]Attendance!E7</f>
        <v>P</v>
      </c>
      <c r="F7" s="18" t="str">
        <f>[1]Attendance!F7</f>
        <v>P</v>
      </c>
      <c r="G7" s="18" t="str">
        <f>[1]Attendance!G7</f>
        <v>P</v>
      </c>
      <c r="H7" s="18" t="str">
        <f>[1]Attendance!H7</f>
        <v>P</v>
      </c>
      <c r="I7" s="18" t="str">
        <f>[1]Attendance!I7</f>
        <v>P</v>
      </c>
      <c r="J7" s="18" t="str">
        <f>[1]Attendance!J7</f>
        <v>H</v>
      </c>
      <c r="K7" s="18" t="str">
        <f>[1]Attendance!K7</f>
        <v>P</v>
      </c>
      <c r="L7" s="18" t="str">
        <f>[1]Attendance!L7</f>
        <v>P</v>
      </c>
      <c r="M7" s="18" t="str">
        <f>[1]Attendance!M7</f>
        <v>P</v>
      </c>
      <c r="N7" s="18" t="str">
        <f>[1]Attendance!N7</f>
        <v>P</v>
      </c>
      <c r="O7" s="18" t="str">
        <f>[1]Attendance!O7</f>
        <v>P</v>
      </c>
      <c r="P7" s="18" t="str">
        <f>[1]Attendance!P7</f>
        <v>P</v>
      </c>
      <c r="Q7" s="18" t="str">
        <f>[1]Attendance!Q7</f>
        <v>H</v>
      </c>
      <c r="R7" s="18" t="str">
        <f>[1]Attendance!R7</f>
        <v>L</v>
      </c>
      <c r="S7" s="18" t="str">
        <f>[1]Attendance!S7</f>
        <v>P</v>
      </c>
      <c r="T7" s="18" t="str">
        <f>[1]Attendance!T7</f>
        <v>P</v>
      </c>
      <c r="U7" s="18" t="str">
        <f>[1]Attendance!U7</f>
        <v>P</v>
      </c>
      <c r="V7" s="18" t="str">
        <f>[1]Attendance!V7</f>
        <v>P</v>
      </c>
      <c r="W7" s="18" t="str">
        <f>[1]Attendance!W7</f>
        <v>P</v>
      </c>
      <c r="X7" s="18" t="str">
        <f>[1]Attendance!X7</f>
        <v>H</v>
      </c>
      <c r="Y7" s="18" t="str">
        <f>[1]Attendance!Y7</f>
        <v>P</v>
      </c>
      <c r="Z7" s="18" t="str">
        <f>[1]Attendance!Z7</f>
        <v>P</v>
      </c>
      <c r="AA7" s="18" t="str">
        <f>[1]Attendance!AA7</f>
        <v>P</v>
      </c>
      <c r="AB7" s="18" t="str">
        <f>[1]Attendance!AB7</f>
        <v>P</v>
      </c>
      <c r="AC7" s="18" t="str">
        <f>[1]Attendance!AC7</f>
        <v>P</v>
      </c>
      <c r="AD7" s="18" t="str">
        <f>[1]Attendance!AD7</f>
        <v>P</v>
      </c>
      <c r="AE7" s="19">
        <f>[1]Attendance!AI7/[1]Attendance!AH7</f>
        <v>589.2962962962963</v>
      </c>
      <c r="AF7" s="19">
        <f t="shared" si="1"/>
        <v>27</v>
      </c>
      <c r="AG7" s="20">
        <v>0</v>
      </c>
      <c r="AH7" s="20">
        <v>0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f>AE7*AF7</f>
        <v>15911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f t="shared" si="2"/>
        <v>15911</v>
      </c>
    </row>
    <row r="8" spans="1:57" ht="17.100000000000001" customHeight="1" x14ac:dyDescent="0.35">
      <c r="A8" s="16">
        <v>5</v>
      </c>
      <c r="B8" s="17" t="str">
        <f>[1]Attendance!B8</f>
        <v>Chouta Keerthana</v>
      </c>
      <c r="C8" s="18" t="str">
        <f>[1]Attendance!C8</f>
        <v>H</v>
      </c>
      <c r="D8" s="18" t="str">
        <f>[1]Attendance!D8</f>
        <v>P</v>
      </c>
      <c r="E8" s="18" t="str">
        <f>[1]Attendance!E8</f>
        <v>P</v>
      </c>
      <c r="F8" s="18" t="str">
        <f>[1]Attendance!F8</f>
        <v>P</v>
      </c>
      <c r="G8" s="18" t="str">
        <f>[1]Attendance!G8</f>
        <v>P</v>
      </c>
      <c r="H8" s="18" t="str">
        <f>[1]Attendance!H8</f>
        <v>P</v>
      </c>
      <c r="I8" s="18" t="str">
        <f>[1]Attendance!I8</f>
        <v>P</v>
      </c>
      <c r="J8" s="18" t="str">
        <f>[1]Attendance!J8</f>
        <v>H</v>
      </c>
      <c r="K8" s="18" t="str">
        <f>[1]Attendance!K8</f>
        <v>L</v>
      </c>
      <c r="L8" s="18" t="str">
        <f>[1]Attendance!L8</f>
        <v>P</v>
      </c>
      <c r="M8" s="18" t="str">
        <f>[1]Attendance!M8</f>
        <v>P</v>
      </c>
      <c r="N8" s="18" t="str">
        <f>[1]Attendance!N8</f>
        <v>L</v>
      </c>
      <c r="O8" s="18" t="str">
        <f>[1]Attendance!O8</f>
        <v>L</v>
      </c>
      <c r="P8" s="18" t="str">
        <f>[1]Attendance!P8</f>
        <v>L</v>
      </c>
      <c r="Q8" s="18" t="str">
        <f>[1]Attendance!Q8</f>
        <v>H</v>
      </c>
      <c r="R8" s="18" t="str">
        <f>[1]Attendance!R8</f>
        <v>P</v>
      </c>
      <c r="S8" s="18" t="str">
        <f>[1]Attendance!S8</f>
        <v>P</v>
      </c>
      <c r="T8" s="18" t="str">
        <f>[1]Attendance!T8</f>
        <v>L</v>
      </c>
      <c r="U8" s="18" t="str">
        <f>[1]Attendance!U8</f>
        <v>P</v>
      </c>
      <c r="V8" s="18" t="str">
        <f>[1]Attendance!V8</f>
        <v>P</v>
      </c>
      <c r="W8" s="18" t="str">
        <f>[1]Attendance!W8</f>
        <v>P</v>
      </c>
      <c r="X8" s="18" t="str">
        <f>[1]Attendance!X8</f>
        <v>H</v>
      </c>
      <c r="Y8" s="18" t="str">
        <f>[1]Attendance!Y8</f>
        <v>P</v>
      </c>
      <c r="Z8" s="18" t="str">
        <f>[1]Attendance!Z8</f>
        <v>P</v>
      </c>
      <c r="AA8" s="18" t="str">
        <f>[1]Attendance!AA8</f>
        <v>P</v>
      </c>
      <c r="AB8" s="18" t="str">
        <f>[1]Attendance!AB8</f>
        <v>P</v>
      </c>
      <c r="AC8" s="18" t="str">
        <f>[1]Attendance!AC8</f>
        <v>P</v>
      </c>
      <c r="AD8" s="18" t="str">
        <f>[1]Attendance!AD8</f>
        <v>P</v>
      </c>
      <c r="AE8" s="19">
        <f>[1]Attendance!AI8/[1]Attendance!AH8</f>
        <v>589.304347826087</v>
      </c>
      <c r="AF8" s="19">
        <f t="shared" si="1"/>
        <v>23</v>
      </c>
      <c r="AG8" s="20">
        <v>0</v>
      </c>
      <c r="AH8" s="20">
        <v>0</v>
      </c>
      <c r="AI8" s="20">
        <v>0</v>
      </c>
      <c r="AJ8" s="20">
        <f>AE8*AF8</f>
        <v>13554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f t="shared" si="2"/>
        <v>13554</v>
      </c>
    </row>
    <row r="9" spans="1:57" ht="17.100000000000001" customHeight="1" x14ac:dyDescent="0.35">
      <c r="A9" s="21">
        <v>6</v>
      </c>
      <c r="B9" s="17" t="str">
        <f>[1]Attendance!B9</f>
        <v>Deshapaga Raghavendar</v>
      </c>
      <c r="C9" s="18" t="str">
        <f>[1]Attendance!C9</f>
        <v>H</v>
      </c>
      <c r="D9" s="18" t="str">
        <f>[1]Attendance!D9</f>
        <v>L</v>
      </c>
      <c r="E9" s="18" t="str">
        <f>[1]Attendance!E9</f>
        <v>P</v>
      </c>
      <c r="F9" s="18" t="str">
        <f>[1]Attendance!F9</f>
        <v>P</v>
      </c>
      <c r="G9" s="18" t="str">
        <f>[1]Attendance!G9</f>
        <v>P</v>
      </c>
      <c r="H9" s="18" t="str">
        <f>[1]Attendance!H9</f>
        <v>L</v>
      </c>
      <c r="I9" s="18" t="str">
        <f>[1]Attendance!I9</f>
        <v>P</v>
      </c>
      <c r="J9" s="18" t="str">
        <f>[1]Attendance!J9</f>
        <v>H</v>
      </c>
      <c r="K9" s="18" t="str">
        <f>[1]Attendance!K9</f>
        <v>P</v>
      </c>
      <c r="L9" s="18" t="str">
        <f>[1]Attendance!L9</f>
        <v>P</v>
      </c>
      <c r="M9" s="18" t="str">
        <f>[1]Attendance!M9</f>
        <v>P</v>
      </c>
      <c r="N9" s="18" t="str">
        <f>[1]Attendance!N9</f>
        <v>P</v>
      </c>
      <c r="O9" s="18" t="str">
        <f>[1]Attendance!O9</f>
        <v>P</v>
      </c>
      <c r="P9" s="18" t="str">
        <f>[1]Attendance!P9</f>
        <v>P</v>
      </c>
      <c r="Q9" s="18" t="str">
        <f>[1]Attendance!Q9</f>
        <v>H</v>
      </c>
      <c r="R9" s="18" t="str">
        <f>[1]Attendance!R9</f>
        <v>P</v>
      </c>
      <c r="S9" s="18" t="str">
        <f>[1]Attendance!S9</f>
        <v>P</v>
      </c>
      <c r="T9" s="18" t="str">
        <f>[1]Attendance!T9</f>
        <v>P</v>
      </c>
      <c r="U9" s="18" t="str">
        <f>[1]Attendance!U9</f>
        <v>P</v>
      </c>
      <c r="V9" s="18" t="str">
        <f>[1]Attendance!V9</f>
        <v>P</v>
      </c>
      <c r="W9" s="18" t="str">
        <f>[1]Attendance!W9</f>
        <v>P</v>
      </c>
      <c r="X9" s="18" t="str">
        <f>[1]Attendance!X9</f>
        <v>H</v>
      </c>
      <c r="Y9" s="18" t="str">
        <f>[1]Attendance!Y9</f>
        <v>P</v>
      </c>
      <c r="Z9" s="18" t="str">
        <f>[1]Attendance!Z9</f>
        <v>P</v>
      </c>
      <c r="AA9" s="18" t="str">
        <f>[1]Attendance!AA9</f>
        <v>P</v>
      </c>
      <c r="AB9" s="18" t="str">
        <f>[1]Attendance!AB9</f>
        <v>P</v>
      </c>
      <c r="AC9" s="18" t="str">
        <f>[1]Attendance!AC9</f>
        <v>P</v>
      </c>
      <c r="AD9" s="18" t="str">
        <f>[1]Attendance!AD9</f>
        <v>P</v>
      </c>
      <c r="AE9" s="19">
        <f>[1]Attendance!AI9/[1]Attendance!AH9</f>
        <v>589.26923076923072</v>
      </c>
      <c r="AF9" s="19">
        <f t="shared" si="1"/>
        <v>26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f>AE9*AF9</f>
        <v>15320.999999999998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f t="shared" si="2"/>
        <v>15321</v>
      </c>
    </row>
    <row r="10" spans="1:57" ht="17.100000000000001" customHeight="1" x14ac:dyDescent="0.35">
      <c r="A10" s="16">
        <v>7</v>
      </c>
      <c r="B10" s="17" t="str">
        <f>[1]Attendance!B10</f>
        <v>Dhenumakonda Lavanya</v>
      </c>
      <c r="C10" s="18" t="str">
        <f>[1]Attendance!C10</f>
        <v>H</v>
      </c>
      <c r="D10" s="18" t="str">
        <f>[1]Attendance!D10</f>
        <v>P</v>
      </c>
      <c r="E10" s="18" t="str">
        <f>[1]Attendance!E10</f>
        <v>P</v>
      </c>
      <c r="F10" s="18" t="str">
        <f>[1]Attendance!F10</f>
        <v>P</v>
      </c>
      <c r="G10" s="18" t="str">
        <f>[1]Attendance!G10</f>
        <v>P</v>
      </c>
      <c r="H10" s="18" t="str">
        <f>[1]Attendance!H10</f>
        <v>P</v>
      </c>
      <c r="I10" s="18" t="str">
        <f>[1]Attendance!I10</f>
        <v>P</v>
      </c>
      <c r="J10" s="18" t="str">
        <f>[1]Attendance!J10</f>
        <v>H</v>
      </c>
      <c r="K10" s="18" t="str">
        <f>[1]Attendance!K10</f>
        <v>P</v>
      </c>
      <c r="L10" s="18" t="str">
        <f>[1]Attendance!L10</f>
        <v>P</v>
      </c>
      <c r="M10" s="18" t="str">
        <f>[1]Attendance!M10</f>
        <v>P</v>
      </c>
      <c r="N10" s="18" t="str">
        <f>[1]Attendance!N10</f>
        <v>P</v>
      </c>
      <c r="O10" s="18" t="str">
        <f>[1]Attendance!O10</f>
        <v>P</v>
      </c>
      <c r="P10" s="18" t="str">
        <f>[1]Attendance!P10</f>
        <v>P</v>
      </c>
      <c r="Q10" s="18" t="str">
        <f>[1]Attendance!Q10</f>
        <v>H</v>
      </c>
      <c r="R10" s="18" t="str">
        <f>[1]Attendance!R10</f>
        <v>P</v>
      </c>
      <c r="S10" s="18" t="str">
        <f>[1]Attendance!S10</f>
        <v>P</v>
      </c>
      <c r="T10" s="18" t="str">
        <f>[1]Attendance!T10</f>
        <v>P</v>
      </c>
      <c r="U10" s="18" t="str">
        <f>[1]Attendance!U10</f>
        <v>P</v>
      </c>
      <c r="V10" s="18" t="str">
        <f>[1]Attendance!V10</f>
        <v>P</v>
      </c>
      <c r="W10" s="18" t="str">
        <f>[1]Attendance!W10</f>
        <v>P</v>
      </c>
      <c r="X10" s="18" t="str">
        <f>[1]Attendance!X10</f>
        <v>H</v>
      </c>
      <c r="Y10" s="18" t="str">
        <f>[1]Attendance!Y10</f>
        <v>P</v>
      </c>
      <c r="Z10" s="18" t="str">
        <f>[1]Attendance!Z10</f>
        <v>P</v>
      </c>
      <c r="AA10" s="18" t="str">
        <f>[1]Attendance!AA10</f>
        <v>P</v>
      </c>
      <c r="AB10" s="18" t="str">
        <f>[1]Attendance!AB10</f>
        <v>P</v>
      </c>
      <c r="AC10" s="18" t="str">
        <f>[1]Attendance!AC10</f>
        <v>P</v>
      </c>
      <c r="AD10" s="18" t="str">
        <f>[1]Attendance!AD10</f>
        <v>P</v>
      </c>
      <c r="AE10" s="19">
        <f>[1]Attendance!AI10/[1]Attendance!AH10</f>
        <v>589.28571428571433</v>
      </c>
      <c r="AF10" s="19">
        <f t="shared" si="1"/>
        <v>28</v>
      </c>
      <c r="AG10" s="20">
        <v>0</v>
      </c>
      <c r="AH10" s="20">
        <v>0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f>AE10*AF10</f>
        <v>16500</v>
      </c>
      <c r="BD10" s="20">
        <v>0</v>
      </c>
      <c r="BE10" s="20">
        <f t="shared" si="2"/>
        <v>16500</v>
      </c>
    </row>
    <row r="11" spans="1:57" ht="17.100000000000001" customHeight="1" x14ac:dyDescent="0.35">
      <c r="A11" s="21">
        <v>8</v>
      </c>
      <c r="B11" s="17" t="str">
        <f>[1]Attendance!B11</f>
        <v>Diravath Mounika</v>
      </c>
      <c r="C11" s="18" t="str">
        <f>[1]Attendance!C11</f>
        <v>H</v>
      </c>
      <c r="D11" s="18" t="str">
        <f>[1]Attendance!D11</f>
        <v>P</v>
      </c>
      <c r="E11" s="18" t="str">
        <f>[1]Attendance!E11</f>
        <v>L</v>
      </c>
      <c r="F11" s="18" t="str">
        <f>[1]Attendance!F11</f>
        <v>L</v>
      </c>
      <c r="G11" s="18" t="str">
        <f>[1]Attendance!G11</f>
        <v>L</v>
      </c>
      <c r="H11" s="18" t="str">
        <f>[1]Attendance!H11</f>
        <v>L</v>
      </c>
      <c r="I11" s="18" t="str">
        <f>[1]Attendance!I11</f>
        <v>L</v>
      </c>
      <c r="J11" s="18" t="str">
        <f>[1]Attendance!J11</f>
        <v>H</v>
      </c>
      <c r="K11" s="18" t="str">
        <f>[1]Attendance!K11</f>
        <v>P</v>
      </c>
      <c r="L11" s="18" t="str">
        <f>[1]Attendance!L11</f>
        <v>P</v>
      </c>
      <c r="M11" s="18" t="str">
        <f>[1]Attendance!M11</f>
        <v>P</v>
      </c>
      <c r="N11" s="18" t="str">
        <f>[1]Attendance!N11</f>
        <v>P</v>
      </c>
      <c r="O11" s="18" t="str">
        <f>[1]Attendance!O11</f>
        <v>P</v>
      </c>
      <c r="P11" s="18" t="str">
        <f>[1]Attendance!P11</f>
        <v>P</v>
      </c>
      <c r="Q11" s="18" t="str">
        <f>[1]Attendance!Q11</f>
        <v>H</v>
      </c>
      <c r="R11" s="18" t="str">
        <f>[1]Attendance!R11</f>
        <v>P</v>
      </c>
      <c r="S11" s="18" t="str">
        <f>[1]Attendance!S11</f>
        <v>P</v>
      </c>
      <c r="T11" s="18" t="str">
        <f>[1]Attendance!T11</f>
        <v>P</v>
      </c>
      <c r="U11" s="18" t="str">
        <f>[1]Attendance!U11</f>
        <v>P</v>
      </c>
      <c r="V11" s="18" t="str">
        <f>[1]Attendance!V11</f>
        <v>P</v>
      </c>
      <c r="W11" s="18" t="str">
        <f>[1]Attendance!W11</f>
        <v>P</v>
      </c>
      <c r="X11" s="18" t="str">
        <f>[1]Attendance!X11</f>
        <v>H</v>
      </c>
      <c r="Y11" s="18" t="str">
        <f>[1]Attendance!Y11</f>
        <v>P</v>
      </c>
      <c r="Z11" s="18" t="str">
        <f>[1]Attendance!Z11</f>
        <v>P</v>
      </c>
      <c r="AA11" s="18" t="str">
        <f>[1]Attendance!AA11</f>
        <v>P</v>
      </c>
      <c r="AB11" s="18" t="str">
        <f>[1]Attendance!AB11</f>
        <v>P</v>
      </c>
      <c r="AC11" s="18" t="str">
        <f>[1]Attendance!AC11</f>
        <v>P</v>
      </c>
      <c r="AD11" s="18" t="str">
        <f>[1]Attendance!AD11</f>
        <v>P</v>
      </c>
      <c r="AE11" s="19">
        <f>[1]Attendance!AI11/[1]Attendance!AH11</f>
        <v>589.304347826087</v>
      </c>
      <c r="AF11" s="19">
        <f t="shared" si="1"/>
        <v>23</v>
      </c>
      <c r="AG11" s="20">
        <v>0</v>
      </c>
      <c r="AH11" s="20">
        <v>0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f>AE11*AF11</f>
        <v>13554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f t="shared" si="2"/>
        <v>13554</v>
      </c>
    </row>
    <row r="12" spans="1:57" ht="17.100000000000001" customHeight="1" x14ac:dyDescent="0.35">
      <c r="A12" s="16">
        <v>9</v>
      </c>
      <c r="B12" s="17" t="str">
        <f>[1]Attendance!B12</f>
        <v>Gaja Balanarayana</v>
      </c>
      <c r="C12" s="18" t="str">
        <f>[1]Attendance!C12</f>
        <v>H</v>
      </c>
      <c r="D12" s="18" t="str">
        <f>[1]Attendance!D12</f>
        <v>P</v>
      </c>
      <c r="E12" s="18" t="str">
        <f>[1]Attendance!E12</f>
        <v>P</v>
      </c>
      <c r="F12" s="18" t="str">
        <f>[1]Attendance!F12</f>
        <v>P</v>
      </c>
      <c r="G12" s="18" t="str">
        <f>[1]Attendance!G12</f>
        <v>P</v>
      </c>
      <c r="H12" s="18" t="str">
        <f>[1]Attendance!H12</f>
        <v>P</v>
      </c>
      <c r="I12" s="18" t="str">
        <f>[1]Attendance!I12</f>
        <v>P</v>
      </c>
      <c r="J12" s="18" t="str">
        <f>[1]Attendance!J12</f>
        <v>H</v>
      </c>
      <c r="K12" s="18" t="str">
        <f>[1]Attendance!K12</f>
        <v>P</v>
      </c>
      <c r="L12" s="18" t="str">
        <f>[1]Attendance!L12</f>
        <v>P</v>
      </c>
      <c r="M12" s="18" t="str">
        <f>[1]Attendance!M12</f>
        <v>P</v>
      </c>
      <c r="N12" s="18" t="str">
        <f>[1]Attendance!N12</f>
        <v>P</v>
      </c>
      <c r="O12" s="18" t="str">
        <f>[1]Attendance!O12</f>
        <v>P</v>
      </c>
      <c r="P12" s="18" t="str">
        <f>[1]Attendance!P12</f>
        <v>P</v>
      </c>
      <c r="Q12" s="18" t="str">
        <f>[1]Attendance!Q12</f>
        <v>H</v>
      </c>
      <c r="R12" s="18" t="str">
        <f>[1]Attendance!R12</f>
        <v>P</v>
      </c>
      <c r="S12" s="18" t="str">
        <f>[1]Attendance!S12</f>
        <v>P</v>
      </c>
      <c r="T12" s="18" t="str">
        <f>[1]Attendance!T12</f>
        <v>P</v>
      </c>
      <c r="U12" s="18" t="str">
        <f>[1]Attendance!U12</f>
        <v>P</v>
      </c>
      <c r="V12" s="18" t="str">
        <f>[1]Attendance!V12</f>
        <v>P</v>
      </c>
      <c r="W12" s="18" t="str">
        <f>[1]Attendance!W12</f>
        <v>P</v>
      </c>
      <c r="X12" s="18" t="str">
        <f>[1]Attendance!X12</f>
        <v>H</v>
      </c>
      <c r="Y12" s="18" t="str">
        <f>[1]Attendance!Y12</f>
        <v>L</v>
      </c>
      <c r="Z12" s="18" t="str">
        <f>[1]Attendance!Z12</f>
        <v>L</v>
      </c>
      <c r="AA12" s="18" t="str">
        <f>[1]Attendance!AA12</f>
        <v>P</v>
      </c>
      <c r="AB12" s="18" t="str">
        <f>[1]Attendance!AB12</f>
        <v>P</v>
      </c>
      <c r="AC12" s="18" t="str">
        <f>[1]Attendance!AC12</f>
        <v>P</v>
      </c>
      <c r="AD12" s="18" t="str">
        <f>[1]Attendance!AD12</f>
        <v>P</v>
      </c>
      <c r="AE12" s="19">
        <f>[1]Attendance!AI12/[1]Attendance!AH12</f>
        <v>589.26923076923072</v>
      </c>
      <c r="AF12" s="19">
        <f t="shared" si="1"/>
        <v>26</v>
      </c>
      <c r="AG12" s="20">
        <v>0</v>
      </c>
      <c r="AH12" s="20">
        <v>0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f>AE12*AF12</f>
        <v>15320.999999999998</v>
      </c>
      <c r="BD12" s="20">
        <v>0</v>
      </c>
      <c r="BE12" s="20">
        <f t="shared" si="2"/>
        <v>15321</v>
      </c>
    </row>
    <row r="13" spans="1:57" ht="16.5" customHeight="1" x14ac:dyDescent="0.35">
      <c r="A13" s="21">
        <v>10</v>
      </c>
      <c r="B13" s="17" t="str">
        <f>[1]Attendance!B13</f>
        <v>Gopala Saritha</v>
      </c>
      <c r="C13" s="18" t="str">
        <f>[1]Attendance!C13</f>
        <v>H</v>
      </c>
      <c r="D13" s="18" t="str">
        <f>[1]Attendance!D13</f>
        <v>P</v>
      </c>
      <c r="E13" s="18" t="str">
        <f>[1]Attendance!E13</f>
        <v>P</v>
      </c>
      <c r="F13" s="18" t="str">
        <f>[1]Attendance!F13</f>
        <v>P</v>
      </c>
      <c r="G13" s="18" t="str">
        <f>[1]Attendance!G13</f>
        <v>P</v>
      </c>
      <c r="H13" s="18" t="str">
        <f>[1]Attendance!H13</f>
        <v>P</v>
      </c>
      <c r="I13" s="18" t="str">
        <f>[1]Attendance!I13</f>
        <v>P</v>
      </c>
      <c r="J13" s="18" t="str">
        <f>[1]Attendance!J13</f>
        <v>H</v>
      </c>
      <c r="K13" s="18" t="str">
        <f>[1]Attendance!K13</f>
        <v>P</v>
      </c>
      <c r="L13" s="18" t="str">
        <f>[1]Attendance!L13</f>
        <v>P</v>
      </c>
      <c r="M13" s="18" t="str">
        <f>[1]Attendance!M13</f>
        <v>P</v>
      </c>
      <c r="N13" s="18" t="str">
        <f>[1]Attendance!N13</f>
        <v>P</v>
      </c>
      <c r="O13" s="18" t="str">
        <f>[1]Attendance!O13</f>
        <v>P</v>
      </c>
      <c r="P13" s="18" t="str">
        <f>[1]Attendance!P13</f>
        <v>P</v>
      </c>
      <c r="Q13" s="18" t="str">
        <f>[1]Attendance!Q13</f>
        <v>H</v>
      </c>
      <c r="R13" s="18" t="str">
        <f>[1]Attendance!R13</f>
        <v>P</v>
      </c>
      <c r="S13" s="18" t="str">
        <f>[1]Attendance!S13</f>
        <v>P</v>
      </c>
      <c r="T13" s="18" t="str">
        <f>[1]Attendance!T13</f>
        <v>P</v>
      </c>
      <c r="U13" s="18" t="str">
        <f>[1]Attendance!U13</f>
        <v>P</v>
      </c>
      <c r="V13" s="18" t="str">
        <f>[1]Attendance!V13</f>
        <v>P</v>
      </c>
      <c r="W13" s="18" t="str">
        <f>[1]Attendance!W13</f>
        <v>P</v>
      </c>
      <c r="X13" s="18" t="str">
        <f>[1]Attendance!X13</f>
        <v>H</v>
      </c>
      <c r="Y13" s="18" t="str">
        <f>[1]Attendance!Y13</f>
        <v>L</v>
      </c>
      <c r="Z13" s="18" t="str">
        <f>[1]Attendance!Z13</f>
        <v>L</v>
      </c>
      <c r="AA13" s="18" t="str">
        <f>[1]Attendance!AA13</f>
        <v>L</v>
      </c>
      <c r="AB13" s="18" t="str">
        <f>[1]Attendance!AB13</f>
        <v>P</v>
      </c>
      <c r="AC13" s="18" t="str">
        <f>[1]Attendance!AC13</f>
        <v>P</v>
      </c>
      <c r="AD13" s="18" t="str">
        <f>[1]Attendance!AD13</f>
        <v>P</v>
      </c>
      <c r="AE13" s="19">
        <f>[1]Attendance!AI13/[1]Attendance!AH13</f>
        <v>589.28</v>
      </c>
      <c r="AF13" s="19">
        <f t="shared" si="1"/>
        <v>25</v>
      </c>
      <c r="AG13" s="20">
        <v>0</v>
      </c>
      <c r="AH13" s="20">
        <v>0</v>
      </c>
      <c r="AI13" s="20">
        <v>0</v>
      </c>
      <c r="AJ13" s="20">
        <v>0</v>
      </c>
      <c r="AK13" s="20">
        <f>AE13*AF13</f>
        <v>14732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f t="shared" si="2"/>
        <v>14732</v>
      </c>
    </row>
    <row r="14" spans="1:57" ht="17.100000000000001" customHeight="1" x14ac:dyDescent="0.35">
      <c r="A14" s="16">
        <v>11</v>
      </c>
      <c r="B14" s="17" t="str">
        <f>[1]Attendance!B14</f>
        <v>Gudise Hemanth Kumar</v>
      </c>
      <c r="C14" s="18" t="str">
        <f>[1]Attendance!C14</f>
        <v>H</v>
      </c>
      <c r="D14" s="18" t="str">
        <f>[1]Attendance!D14</f>
        <v>P</v>
      </c>
      <c r="E14" s="18" t="str">
        <f>[1]Attendance!E14</f>
        <v>P</v>
      </c>
      <c r="F14" s="18" t="str">
        <f>[1]Attendance!F14</f>
        <v>P</v>
      </c>
      <c r="G14" s="18" t="str">
        <f>[1]Attendance!G14</f>
        <v>P</v>
      </c>
      <c r="H14" s="18" t="str">
        <f>[1]Attendance!H14</f>
        <v>P</v>
      </c>
      <c r="I14" s="18" t="str">
        <f>[1]Attendance!I14</f>
        <v>P</v>
      </c>
      <c r="J14" s="18" t="str">
        <f>[1]Attendance!J14</f>
        <v>H</v>
      </c>
      <c r="K14" s="18" t="str">
        <f>[1]Attendance!K14</f>
        <v>P</v>
      </c>
      <c r="L14" s="18" t="str">
        <f>[1]Attendance!L14</f>
        <v>P</v>
      </c>
      <c r="M14" s="18" t="str">
        <f>[1]Attendance!M14</f>
        <v>L</v>
      </c>
      <c r="N14" s="18" t="str">
        <f>[1]Attendance!N14</f>
        <v>p</v>
      </c>
      <c r="O14" s="18" t="str">
        <f>[1]Attendance!O14</f>
        <v>p</v>
      </c>
      <c r="P14" s="18" t="str">
        <f>[1]Attendance!P14</f>
        <v>P</v>
      </c>
      <c r="Q14" s="18" t="str">
        <f>[1]Attendance!Q14</f>
        <v>H</v>
      </c>
      <c r="R14" s="18" t="str">
        <f>[1]Attendance!R14</f>
        <v>P</v>
      </c>
      <c r="S14" s="18" t="str">
        <f>[1]Attendance!S14</f>
        <v>L</v>
      </c>
      <c r="T14" s="18" t="str">
        <f>[1]Attendance!T14</f>
        <v>L</v>
      </c>
      <c r="U14" s="18" t="str">
        <f>[1]Attendance!U14</f>
        <v>L</v>
      </c>
      <c r="V14" s="18" t="str">
        <f>[1]Attendance!V14</f>
        <v>L</v>
      </c>
      <c r="W14" s="18" t="str">
        <f>[1]Attendance!W14</f>
        <v>L</v>
      </c>
      <c r="X14" s="18" t="str">
        <f>[1]Attendance!X14</f>
        <v>H</v>
      </c>
      <c r="Y14" s="18" t="str">
        <f>[1]Attendance!Y14</f>
        <v>L</v>
      </c>
      <c r="Z14" s="18" t="str">
        <f>[1]Attendance!Z14</f>
        <v>L</v>
      </c>
      <c r="AA14" s="18" t="str">
        <f>[1]Attendance!AA14</f>
        <v>P</v>
      </c>
      <c r="AB14" s="18" t="str">
        <f>[1]Attendance!AB14</f>
        <v>P</v>
      </c>
      <c r="AC14" s="18" t="str">
        <f>[1]Attendance!AC14</f>
        <v>L</v>
      </c>
      <c r="AD14" s="18" t="str">
        <f>[1]Attendance!AD14</f>
        <v>P</v>
      </c>
      <c r="AE14" s="19">
        <f>[1]Attendance!AI14/[1]Attendance!AH14</f>
        <v>589.26315789473688</v>
      </c>
      <c r="AF14" s="19">
        <f t="shared" si="1"/>
        <v>19</v>
      </c>
      <c r="AG14" s="20">
        <v>0</v>
      </c>
      <c r="AH14" s="20">
        <v>0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f>AE14*AF14</f>
        <v>11196</v>
      </c>
      <c r="BC14" s="20">
        <v>0</v>
      </c>
      <c r="BD14" s="20">
        <v>0</v>
      </c>
      <c r="BE14" s="20">
        <f t="shared" si="2"/>
        <v>11196</v>
      </c>
    </row>
    <row r="15" spans="1:57" ht="17.100000000000001" customHeight="1" x14ac:dyDescent="0.35">
      <c r="A15" s="21">
        <v>12</v>
      </c>
      <c r="B15" s="17" t="str">
        <f>[1]Attendance!B15</f>
        <v>Jetti Hima Sindhu</v>
      </c>
      <c r="C15" s="18" t="str">
        <f>[1]Attendance!C15</f>
        <v>H</v>
      </c>
      <c r="D15" s="18" t="str">
        <f>[1]Attendance!D15</f>
        <v>P</v>
      </c>
      <c r="E15" s="18" t="str">
        <f>[1]Attendance!E15</f>
        <v>P</v>
      </c>
      <c r="F15" s="18" t="str">
        <f>[1]Attendance!F15</f>
        <v>P</v>
      </c>
      <c r="G15" s="18" t="str">
        <f>[1]Attendance!G15</f>
        <v>P</v>
      </c>
      <c r="H15" s="18" t="str">
        <f>[1]Attendance!H15</f>
        <v>P</v>
      </c>
      <c r="I15" s="18" t="str">
        <f>[1]Attendance!I15</f>
        <v>P</v>
      </c>
      <c r="J15" s="18" t="str">
        <f>[1]Attendance!J15</f>
        <v>H</v>
      </c>
      <c r="K15" s="18" t="str">
        <f>[1]Attendance!K15</f>
        <v>P</v>
      </c>
      <c r="L15" s="18" t="str">
        <f>[1]Attendance!L15</f>
        <v>P</v>
      </c>
      <c r="M15" s="18" t="str">
        <f>[1]Attendance!M15</f>
        <v>P</v>
      </c>
      <c r="N15" s="18" t="str">
        <f>[1]Attendance!N15</f>
        <v>P</v>
      </c>
      <c r="O15" s="18" t="str">
        <f>[1]Attendance!O15</f>
        <v>P</v>
      </c>
      <c r="P15" s="18" t="str">
        <f>[1]Attendance!P15</f>
        <v>P</v>
      </c>
      <c r="Q15" s="18" t="str">
        <f>[1]Attendance!Q15</f>
        <v>H</v>
      </c>
      <c r="R15" s="18" t="str">
        <f>[1]Attendance!R15</f>
        <v>P</v>
      </c>
      <c r="S15" s="18" t="str">
        <f>[1]Attendance!S15</f>
        <v>P</v>
      </c>
      <c r="T15" s="18" t="str">
        <f>[1]Attendance!T15</f>
        <v>P</v>
      </c>
      <c r="U15" s="18" t="str">
        <f>[1]Attendance!U15</f>
        <v>P</v>
      </c>
      <c r="V15" s="18" t="str">
        <f>[1]Attendance!V15</f>
        <v>L</v>
      </c>
      <c r="W15" s="18" t="str">
        <f>[1]Attendance!W15</f>
        <v>P</v>
      </c>
      <c r="X15" s="18" t="str">
        <f>[1]Attendance!X15</f>
        <v>H</v>
      </c>
      <c r="Y15" s="18" t="str">
        <f>[1]Attendance!Y15</f>
        <v>P</v>
      </c>
      <c r="Z15" s="18" t="str">
        <f>[1]Attendance!Z15</f>
        <v>P</v>
      </c>
      <c r="AA15" s="18" t="str">
        <f>[1]Attendance!AA15</f>
        <v>L</v>
      </c>
      <c r="AB15" s="18" t="str">
        <f>[1]Attendance!AB15</f>
        <v>L</v>
      </c>
      <c r="AC15" s="18" t="str">
        <f>[1]Attendance!AC15</f>
        <v>L</v>
      </c>
      <c r="AD15" s="18" t="str">
        <f>[1]Attendance!AD15</f>
        <v>P</v>
      </c>
      <c r="AE15" s="19">
        <f>[1]Attendance!AI15/[1]Attendance!AH15</f>
        <v>589.29166666666663</v>
      </c>
      <c r="AF15" s="19">
        <f t="shared" si="1"/>
        <v>24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f>AE15*12</f>
        <v>7071.5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f>AE15*12</f>
        <v>7071.5</v>
      </c>
      <c r="BA15" s="20">
        <v>0</v>
      </c>
      <c r="BB15" s="20">
        <v>0</v>
      </c>
      <c r="BC15" s="20">
        <v>0</v>
      </c>
      <c r="BD15" s="20">
        <v>0</v>
      </c>
      <c r="BE15" s="20">
        <f t="shared" si="2"/>
        <v>14143</v>
      </c>
    </row>
    <row r="16" spans="1:57" ht="17.100000000000001" customHeight="1" x14ac:dyDescent="0.35">
      <c r="A16" s="16">
        <v>13</v>
      </c>
      <c r="B16" s="17" t="str">
        <f>[1]Attendance!B16</f>
        <v>K Thirupathaiah</v>
      </c>
      <c r="C16" s="18" t="str">
        <f>[1]Attendance!C16</f>
        <v>H</v>
      </c>
      <c r="D16" s="18" t="str">
        <f>[1]Attendance!D16</f>
        <v>P</v>
      </c>
      <c r="E16" s="18" t="str">
        <f>[1]Attendance!E16</f>
        <v>P</v>
      </c>
      <c r="F16" s="18" t="str">
        <f>[1]Attendance!F16</f>
        <v>P</v>
      </c>
      <c r="G16" s="18" t="str">
        <f>[1]Attendance!G16</f>
        <v>P</v>
      </c>
      <c r="H16" s="18" t="str">
        <f>[1]Attendance!H16</f>
        <v>P</v>
      </c>
      <c r="I16" s="18" t="str">
        <f>[1]Attendance!I16</f>
        <v>P</v>
      </c>
      <c r="J16" s="18" t="str">
        <f>[1]Attendance!J16</f>
        <v>H</v>
      </c>
      <c r="K16" s="18" t="str">
        <f>[1]Attendance!K16</f>
        <v>P</v>
      </c>
      <c r="L16" s="18" t="str">
        <f>[1]Attendance!L16</f>
        <v>P</v>
      </c>
      <c r="M16" s="18" t="str">
        <f>[1]Attendance!M16</f>
        <v>P</v>
      </c>
      <c r="N16" s="18" t="str">
        <f>[1]Attendance!N16</f>
        <v>P</v>
      </c>
      <c r="O16" s="18" t="str">
        <f>[1]Attendance!O16</f>
        <v>P</v>
      </c>
      <c r="P16" s="18" t="str">
        <f>[1]Attendance!P16</f>
        <v>P</v>
      </c>
      <c r="Q16" s="18" t="str">
        <f>[1]Attendance!Q16</f>
        <v>H</v>
      </c>
      <c r="R16" s="18" t="str">
        <f>[1]Attendance!R16</f>
        <v>P</v>
      </c>
      <c r="S16" s="18" t="str">
        <f>[1]Attendance!S16</f>
        <v>P</v>
      </c>
      <c r="T16" s="18" t="str">
        <f>[1]Attendance!T16</f>
        <v>P</v>
      </c>
      <c r="U16" s="18" t="str">
        <f>[1]Attendance!U16</f>
        <v>P</v>
      </c>
      <c r="V16" s="18" t="str">
        <f>[1]Attendance!V16</f>
        <v>P</v>
      </c>
      <c r="W16" s="18" t="str">
        <f>[1]Attendance!W16</f>
        <v>P</v>
      </c>
      <c r="X16" s="18" t="str">
        <f>[1]Attendance!X16</f>
        <v>H</v>
      </c>
      <c r="Y16" s="18" t="str">
        <f>[1]Attendance!Y16</f>
        <v>P</v>
      </c>
      <c r="Z16" s="18" t="str">
        <f>[1]Attendance!Z16</f>
        <v>P</v>
      </c>
      <c r="AA16" s="18" t="str">
        <f>[1]Attendance!AA16</f>
        <v>P</v>
      </c>
      <c r="AB16" s="18" t="str">
        <f>[1]Attendance!AB16</f>
        <v>P</v>
      </c>
      <c r="AC16" s="18" t="str">
        <f>[1]Attendance!AC16</f>
        <v>P</v>
      </c>
      <c r="AD16" s="18" t="str">
        <f>[1]Attendance!AD16</f>
        <v>P</v>
      </c>
      <c r="AE16" s="19">
        <f>[1]Attendance!AI16/[1]Attendance!AH16</f>
        <v>589.28571428571433</v>
      </c>
      <c r="AF16" s="19">
        <f t="shared" si="1"/>
        <v>28</v>
      </c>
      <c r="AG16" s="20">
        <v>0</v>
      </c>
      <c r="AH16" s="20">
        <v>0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f>AE16*AF16</f>
        <v>16500</v>
      </c>
      <c r="BD16" s="20">
        <v>0</v>
      </c>
      <c r="BE16" s="20">
        <f t="shared" si="2"/>
        <v>16500</v>
      </c>
    </row>
    <row r="17" spans="1:57" ht="17.100000000000001" customHeight="1" x14ac:dyDescent="0.35">
      <c r="A17" s="21">
        <v>14</v>
      </c>
      <c r="B17" s="17" t="str">
        <f>[1]Attendance!B17</f>
        <v>Kanche Srisailam</v>
      </c>
      <c r="C17" s="18" t="str">
        <f>[1]Attendance!C17</f>
        <v>H</v>
      </c>
      <c r="D17" s="18" t="str">
        <f>[1]Attendance!D17</f>
        <v>P</v>
      </c>
      <c r="E17" s="18" t="str">
        <f>[1]Attendance!E17</f>
        <v>P</v>
      </c>
      <c r="F17" s="18" t="str">
        <f>[1]Attendance!F17</f>
        <v>P</v>
      </c>
      <c r="G17" s="18" t="str">
        <f>[1]Attendance!G17</f>
        <v>P</v>
      </c>
      <c r="H17" s="18" t="str">
        <f>[1]Attendance!H17</f>
        <v>P</v>
      </c>
      <c r="I17" s="18" t="str">
        <f>[1]Attendance!I17</f>
        <v>P</v>
      </c>
      <c r="J17" s="18" t="str">
        <f>[1]Attendance!J17</f>
        <v>H</v>
      </c>
      <c r="K17" s="18" t="str">
        <f>[1]Attendance!K17</f>
        <v>P</v>
      </c>
      <c r="L17" s="18" t="str">
        <f>[1]Attendance!L17</f>
        <v>P</v>
      </c>
      <c r="M17" s="18" t="str">
        <f>[1]Attendance!M17</f>
        <v>P</v>
      </c>
      <c r="N17" s="18" t="str">
        <f>[1]Attendance!N17</f>
        <v>P</v>
      </c>
      <c r="O17" s="18" t="str">
        <f>[1]Attendance!O17</f>
        <v>P</v>
      </c>
      <c r="P17" s="18" t="str">
        <f>[1]Attendance!P17</f>
        <v>P</v>
      </c>
      <c r="Q17" s="18" t="str">
        <f>[1]Attendance!Q17</f>
        <v>H</v>
      </c>
      <c r="R17" s="18" t="str">
        <f>[1]Attendance!R17</f>
        <v>P</v>
      </c>
      <c r="S17" s="18" t="str">
        <f>[1]Attendance!S17</f>
        <v>P</v>
      </c>
      <c r="T17" s="18" t="str">
        <f>[1]Attendance!T17</f>
        <v>P</v>
      </c>
      <c r="U17" s="18" t="str">
        <f>[1]Attendance!U17</f>
        <v>P</v>
      </c>
      <c r="V17" s="18" t="str">
        <f>[1]Attendance!V17</f>
        <v>P</v>
      </c>
      <c r="W17" s="18" t="str">
        <f>[1]Attendance!W17</f>
        <v>P</v>
      </c>
      <c r="X17" s="18" t="str">
        <f>[1]Attendance!X17</f>
        <v>H</v>
      </c>
      <c r="Y17" s="18" t="str">
        <f>[1]Attendance!Y17</f>
        <v>P</v>
      </c>
      <c r="Z17" s="18" t="str">
        <f>[1]Attendance!Z17</f>
        <v>P</v>
      </c>
      <c r="AA17" s="18" t="str">
        <f>[1]Attendance!AA17</f>
        <v>P</v>
      </c>
      <c r="AB17" s="18" t="str">
        <f>[1]Attendance!AB17</f>
        <v>P</v>
      </c>
      <c r="AC17" s="18" t="str">
        <f>[1]Attendance!AC17</f>
        <v>P</v>
      </c>
      <c r="AD17" s="18" t="str">
        <f>[1]Attendance!AD17</f>
        <v>P</v>
      </c>
      <c r="AE17" s="19">
        <f>[1]Attendance!AI17/[1]Attendance!AH17</f>
        <v>589.28571428571433</v>
      </c>
      <c r="AF17" s="19">
        <f t="shared" si="1"/>
        <v>28</v>
      </c>
      <c r="AG17" s="20">
        <v>0</v>
      </c>
      <c r="AH17" s="20">
        <v>0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f>AE17*AF17</f>
        <v>16500</v>
      </c>
      <c r="BD17" s="20">
        <v>0</v>
      </c>
      <c r="BE17" s="20">
        <f t="shared" si="2"/>
        <v>16500</v>
      </c>
    </row>
    <row r="18" spans="1:57" ht="17.100000000000001" customHeight="1" x14ac:dyDescent="0.35">
      <c r="A18" s="16">
        <v>15</v>
      </c>
      <c r="B18" s="17" t="str">
        <f>[1]Attendance!B18</f>
        <v>Kasireddy Harish</v>
      </c>
      <c r="C18" s="18" t="str">
        <f>[1]Attendance!C18</f>
        <v>H</v>
      </c>
      <c r="D18" s="18" t="str">
        <f>[1]Attendance!D18</f>
        <v>P</v>
      </c>
      <c r="E18" s="18" t="str">
        <f>[1]Attendance!E18</f>
        <v>P</v>
      </c>
      <c r="F18" s="18" t="str">
        <f>[1]Attendance!F18</f>
        <v>P</v>
      </c>
      <c r="G18" s="18" t="str">
        <f>[1]Attendance!G18</f>
        <v>P</v>
      </c>
      <c r="H18" s="18" t="str">
        <f>[1]Attendance!H18</f>
        <v>P</v>
      </c>
      <c r="I18" s="18" t="str">
        <f>[1]Attendance!I18</f>
        <v>P</v>
      </c>
      <c r="J18" s="18" t="str">
        <f>[1]Attendance!J18</f>
        <v>H</v>
      </c>
      <c r="K18" s="18" t="str">
        <f>[1]Attendance!K18</f>
        <v>P</v>
      </c>
      <c r="L18" s="18" t="str">
        <f>[1]Attendance!L18</f>
        <v>P</v>
      </c>
      <c r="M18" s="18" t="str">
        <f>[1]Attendance!M18</f>
        <v>P</v>
      </c>
      <c r="N18" s="18" t="str">
        <f>[1]Attendance!N18</f>
        <v>P</v>
      </c>
      <c r="O18" s="18" t="str">
        <f>[1]Attendance!O18</f>
        <v>P</v>
      </c>
      <c r="P18" s="18" t="str">
        <f>[1]Attendance!P18</f>
        <v>P</v>
      </c>
      <c r="Q18" s="18" t="str">
        <f>[1]Attendance!Q18</f>
        <v>H</v>
      </c>
      <c r="R18" s="18" t="str">
        <f>[1]Attendance!R18</f>
        <v>P</v>
      </c>
      <c r="S18" s="18" t="str">
        <f>[1]Attendance!S18</f>
        <v>P</v>
      </c>
      <c r="T18" s="18" t="str">
        <f>[1]Attendance!T18</f>
        <v>P</v>
      </c>
      <c r="U18" s="18" t="str">
        <f>[1]Attendance!U18</f>
        <v>P</v>
      </c>
      <c r="V18" s="18" t="str">
        <f>[1]Attendance!V18</f>
        <v>P</v>
      </c>
      <c r="W18" s="18" t="str">
        <f>[1]Attendance!W18</f>
        <v>P</v>
      </c>
      <c r="X18" s="18" t="str">
        <f>[1]Attendance!X18</f>
        <v>H</v>
      </c>
      <c r="Y18" s="18" t="str">
        <f>[1]Attendance!Y18</f>
        <v>P</v>
      </c>
      <c r="Z18" s="18" t="str">
        <f>[1]Attendance!Z18</f>
        <v>P</v>
      </c>
      <c r="AA18" s="18" t="str">
        <f>[1]Attendance!AA18</f>
        <v>P</v>
      </c>
      <c r="AB18" s="18" t="str">
        <f>[1]Attendance!AB18</f>
        <v>P</v>
      </c>
      <c r="AC18" s="18" t="str">
        <f>[1]Attendance!AC18</f>
        <v>P</v>
      </c>
      <c r="AD18" s="18" t="str">
        <f>[1]Attendance!AD18</f>
        <v>P</v>
      </c>
      <c r="AE18" s="19">
        <f>[1]Attendance!AI18/[1]Attendance!AH18</f>
        <v>589.28571428571433</v>
      </c>
      <c r="AF18" s="19">
        <f t="shared" si="1"/>
        <v>28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f>AE18*AF18</f>
        <v>16500</v>
      </c>
      <c r="BD18" s="20">
        <v>0</v>
      </c>
      <c r="BE18" s="20">
        <f t="shared" si="2"/>
        <v>16500</v>
      </c>
    </row>
    <row r="19" spans="1:57" ht="17.100000000000001" customHeight="1" x14ac:dyDescent="0.35">
      <c r="A19" s="21">
        <v>16</v>
      </c>
      <c r="B19" s="17" t="str">
        <f>[1]Attendance!B19</f>
        <v>Kasturi Sathish</v>
      </c>
      <c r="C19" s="18" t="str">
        <f>[1]Attendance!C19</f>
        <v>H</v>
      </c>
      <c r="D19" s="18" t="str">
        <f>[1]Attendance!D19</f>
        <v>P</v>
      </c>
      <c r="E19" s="18" t="str">
        <f>[1]Attendance!E19</f>
        <v>P</v>
      </c>
      <c r="F19" s="18" t="str">
        <f>[1]Attendance!F19</f>
        <v>P</v>
      </c>
      <c r="G19" s="18" t="str">
        <f>[1]Attendance!G19</f>
        <v>P</v>
      </c>
      <c r="H19" s="18" t="str">
        <f>[1]Attendance!H19</f>
        <v>P</v>
      </c>
      <c r="I19" s="18" t="str">
        <f>[1]Attendance!I19</f>
        <v>P</v>
      </c>
      <c r="J19" s="18" t="str">
        <f>[1]Attendance!J19</f>
        <v>H</v>
      </c>
      <c r="K19" s="18" t="str">
        <f>[1]Attendance!K19</f>
        <v>P</v>
      </c>
      <c r="L19" s="18" t="str">
        <f>[1]Attendance!L19</f>
        <v>P</v>
      </c>
      <c r="M19" s="18" t="str">
        <f>[1]Attendance!M19</f>
        <v>P</v>
      </c>
      <c r="N19" s="18" t="str">
        <f>[1]Attendance!N19</f>
        <v>P</v>
      </c>
      <c r="O19" s="18" t="str">
        <f>[1]Attendance!O19</f>
        <v>P</v>
      </c>
      <c r="P19" s="18" t="str">
        <f>[1]Attendance!P19</f>
        <v>P</v>
      </c>
      <c r="Q19" s="18" t="str">
        <f>[1]Attendance!Q19</f>
        <v>H</v>
      </c>
      <c r="R19" s="18" t="str">
        <f>[1]Attendance!R19</f>
        <v>P</v>
      </c>
      <c r="S19" s="18" t="str">
        <f>[1]Attendance!S19</f>
        <v>P</v>
      </c>
      <c r="T19" s="18" t="str">
        <f>[1]Attendance!T19</f>
        <v>P</v>
      </c>
      <c r="U19" s="18" t="str">
        <f>[1]Attendance!U19</f>
        <v>P</v>
      </c>
      <c r="V19" s="18" t="str">
        <f>[1]Attendance!V19</f>
        <v>P</v>
      </c>
      <c r="W19" s="18" t="str">
        <f>[1]Attendance!W19</f>
        <v>P</v>
      </c>
      <c r="X19" s="18" t="str">
        <f>[1]Attendance!X19</f>
        <v>H</v>
      </c>
      <c r="Y19" s="18" t="str">
        <f>[1]Attendance!Y19</f>
        <v>P</v>
      </c>
      <c r="Z19" s="18" t="str">
        <f>[1]Attendance!Z19</f>
        <v>P</v>
      </c>
      <c r="AA19" s="18" t="str">
        <f>[1]Attendance!AA19</f>
        <v>P</v>
      </c>
      <c r="AB19" s="18" t="str">
        <f>[1]Attendance!AB19</f>
        <v>P</v>
      </c>
      <c r="AC19" s="18" t="str">
        <f>[1]Attendance!AC19</f>
        <v>P</v>
      </c>
      <c r="AD19" s="18" t="str">
        <f>[1]Attendance!AD19</f>
        <v>P</v>
      </c>
      <c r="AE19" s="19">
        <f>[1]Attendance!AI19/[1]Attendance!AH19</f>
        <v>589.28571428571433</v>
      </c>
      <c r="AF19" s="19">
        <f t="shared" si="1"/>
        <v>28</v>
      </c>
      <c r="AG19" s="20">
        <v>0</v>
      </c>
      <c r="AH19" s="20">
        <v>0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f>AE19*AF19</f>
        <v>16500</v>
      </c>
      <c r="BD19" s="20">
        <v>0</v>
      </c>
      <c r="BE19" s="20">
        <f t="shared" si="2"/>
        <v>16500</v>
      </c>
    </row>
    <row r="20" spans="1:57" ht="17.100000000000001" customHeight="1" x14ac:dyDescent="0.35">
      <c r="A20" s="16">
        <v>17</v>
      </c>
      <c r="B20" s="17" t="str">
        <f>[1]Attendance!B20</f>
        <v>Katravath Mangesh</v>
      </c>
      <c r="C20" s="18" t="str">
        <f>[1]Attendance!C20</f>
        <v>H</v>
      </c>
      <c r="D20" s="18" t="str">
        <f>[1]Attendance!D20</f>
        <v>P</v>
      </c>
      <c r="E20" s="18" t="str">
        <f>[1]Attendance!E20</f>
        <v>P</v>
      </c>
      <c r="F20" s="18" t="str">
        <f>[1]Attendance!F20</f>
        <v>P</v>
      </c>
      <c r="G20" s="18" t="str">
        <f>[1]Attendance!G20</f>
        <v>P</v>
      </c>
      <c r="H20" s="18" t="str">
        <f>[1]Attendance!H20</f>
        <v>P</v>
      </c>
      <c r="I20" s="18" t="str">
        <f>[1]Attendance!I20</f>
        <v>P</v>
      </c>
      <c r="J20" s="18" t="str">
        <f>[1]Attendance!J20</f>
        <v>H</v>
      </c>
      <c r="K20" s="18" t="str">
        <f>[1]Attendance!K20</f>
        <v>P</v>
      </c>
      <c r="L20" s="18" t="str">
        <f>[1]Attendance!L20</f>
        <v>P</v>
      </c>
      <c r="M20" s="18" t="str">
        <f>[1]Attendance!M20</f>
        <v>P</v>
      </c>
      <c r="N20" s="18" t="str">
        <f>[1]Attendance!N20</f>
        <v>P</v>
      </c>
      <c r="O20" s="18" t="str">
        <f>[1]Attendance!O20</f>
        <v>P</v>
      </c>
      <c r="P20" s="18" t="str">
        <f>[1]Attendance!P20</f>
        <v>P</v>
      </c>
      <c r="Q20" s="18" t="str">
        <f>[1]Attendance!Q20</f>
        <v>H</v>
      </c>
      <c r="R20" s="18" t="str">
        <f>[1]Attendance!R20</f>
        <v>P</v>
      </c>
      <c r="S20" s="18" t="str">
        <f>[1]Attendance!S20</f>
        <v>P</v>
      </c>
      <c r="T20" s="18" t="str">
        <f>[1]Attendance!T20</f>
        <v>P</v>
      </c>
      <c r="U20" s="18" t="str">
        <f>[1]Attendance!U20</f>
        <v>P</v>
      </c>
      <c r="V20" s="18" t="str">
        <f>[1]Attendance!V20</f>
        <v>P</v>
      </c>
      <c r="W20" s="18" t="str">
        <f>[1]Attendance!W20</f>
        <v>P</v>
      </c>
      <c r="X20" s="18" t="str">
        <f>[1]Attendance!X20</f>
        <v>H</v>
      </c>
      <c r="Y20" s="18" t="str">
        <f>[1]Attendance!Y20</f>
        <v>P</v>
      </c>
      <c r="Z20" s="18" t="str">
        <f>[1]Attendance!Z20</f>
        <v>P</v>
      </c>
      <c r="AA20" s="18" t="str">
        <f>[1]Attendance!AA20</f>
        <v>P</v>
      </c>
      <c r="AB20" s="18" t="str">
        <f>[1]Attendance!AB20</f>
        <v>P</v>
      </c>
      <c r="AC20" s="18" t="str">
        <f>[1]Attendance!AC20</f>
        <v>P</v>
      </c>
      <c r="AD20" s="18" t="str">
        <f>[1]Attendance!AD20</f>
        <v>P</v>
      </c>
      <c r="AE20" s="19">
        <f>[1]Attendance!AI20/[1]Attendance!AH20</f>
        <v>589.28571428571433</v>
      </c>
      <c r="AF20" s="19">
        <f t="shared" si="1"/>
        <v>28</v>
      </c>
      <c r="AG20" s="20">
        <v>0</v>
      </c>
      <c r="AH20" s="20">
        <v>0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f>AE20*AF20</f>
        <v>16500</v>
      </c>
      <c r="BE20" s="20">
        <f t="shared" si="2"/>
        <v>16500</v>
      </c>
    </row>
    <row r="21" spans="1:57" ht="17.100000000000001" customHeight="1" x14ac:dyDescent="0.35">
      <c r="A21" s="21">
        <v>18</v>
      </c>
      <c r="B21" s="17" t="str">
        <f>[1]Attendance!B21</f>
        <v>Katravath Mohan Rathod</v>
      </c>
      <c r="C21" s="18" t="str">
        <f>[1]Attendance!C21</f>
        <v>H</v>
      </c>
      <c r="D21" s="18" t="str">
        <f>[1]Attendance!D21</f>
        <v>P</v>
      </c>
      <c r="E21" s="18" t="str">
        <f>[1]Attendance!E21</f>
        <v>P</v>
      </c>
      <c r="F21" s="18" t="str">
        <f>[1]Attendance!F21</f>
        <v>P</v>
      </c>
      <c r="G21" s="18" t="str">
        <f>[1]Attendance!G21</f>
        <v>P</v>
      </c>
      <c r="H21" s="18" t="str">
        <f>[1]Attendance!H21</f>
        <v>P</v>
      </c>
      <c r="I21" s="18" t="str">
        <f>[1]Attendance!I21</f>
        <v>P</v>
      </c>
      <c r="J21" s="18" t="str">
        <f>[1]Attendance!J21</f>
        <v>H</v>
      </c>
      <c r="K21" s="18" t="str">
        <f>[1]Attendance!K21</f>
        <v>P</v>
      </c>
      <c r="L21" s="18" t="str">
        <f>[1]Attendance!L21</f>
        <v>P</v>
      </c>
      <c r="M21" s="18" t="str">
        <f>[1]Attendance!M21</f>
        <v>P</v>
      </c>
      <c r="N21" s="18" t="str">
        <f>[1]Attendance!N21</f>
        <v>P</v>
      </c>
      <c r="O21" s="18" t="str">
        <f>[1]Attendance!O21</f>
        <v>P</v>
      </c>
      <c r="P21" s="18" t="str">
        <f>[1]Attendance!P21</f>
        <v>L</v>
      </c>
      <c r="Q21" s="18" t="str">
        <f>[1]Attendance!Q21</f>
        <v>H</v>
      </c>
      <c r="R21" s="18" t="str">
        <f>[1]Attendance!R21</f>
        <v>P</v>
      </c>
      <c r="S21" s="18" t="str">
        <f>[1]Attendance!S21</f>
        <v>P</v>
      </c>
      <c r="T21" s="18" t="str">
        <f>[1]Attendance!T21</f>
        <v>P</v>
      </c>
      <c r="U21" s="18" t="str">
        <f>[1]Attendance!U21</f>
        <v>P</v>
      </c>
      <c r="V21" s="18" t="str">
        <f>[1]Attendance!V21</f>
        <v>P</v>
      </c>
      <c r="W21" s="18" t="str">
        <f>[1]Attendance!W21</f>
        <v>P</v>
      </c>
      <c r="X21" s="18" t="str">
        <f>[1]Attendance!X21</f>
        <v>H</v>
      </c>
      <c r="Y21" s="18" t="str">
        <f>[1]Attendance!Y21</f>
        <v>P</v>
      </c>
      <c r="Z21" s="18" t="str">
        <f>[1]Attendance!Z21</f>
        <v>P</v>
      </c>
      <c r="AA21" s="18" t="str">
        <f>[1]Attendance!AA21</f>
        <v>P</v>
      </c>
      <c r="AB21" s="18" t="str">
        <f>[1]Attendance!AB21</f>
        <v>P</v>
      </c>
      <c r="AC21" s="18" t="str">
        <f>[1]Attendance!AC21</f>
        <v>P</v>
      </c>
      <c r="AD21" s="18" t="str">
        <f>[1]Attendance!AD21</f>
        <v>P</v>
      </c>
      <c r="AE21" s="19">
        <f>[1]Attendance!AI21/[1]Attendance!AH21</f>
        <v>589.2962962962963</v>
      </c>
      <c r="AF21" s="19">
        <f t="shared" si="1"/>
        <v>27</v>
      </c>
      <c r="AG21" s="20">
        <v>0</v>
      </c>
      <c r="AH21" s="20">
        <v>0</v>
      </c>
      <c r="AI21" s="20">
        <v>0</v>
      </c>
      <c r="AJ21" s="20">
        <v>0</v>
      </c>
      <c r="AK21" s="20">
        <v>0</v>
      </c>
      <c r="AL21" s="20">
        <v>0</v>
      </c>
      <c r="AM21" s="20">
        <f>AE21*AF21</f>
        <v>15911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f t="shared" si="2"/>
        <v>15911</v>
      </c>
    </row>
    <row r="22" spans="1:57" ht="17.100000000000001" customHeight="1" x14ac:dyDescent="0.35">
      <c r="A22" s="16">
        <v>19</v>
      </c>
      <c r="B22" s="17" t="str">
        <f>[1]Attendance!B22</f>
        <v>Katravath Radhika</v>
      </c>
      <c r="C22" s="18" t="str">
        <f>[1]Attendance!C22</f>
        <v>H</v>
      </c>
      <c r="D22" s="18" t="str">
        <f>[1]Attendance!D22</f>
        <v>P</v>
      </c>
      <c r="E22" s="18" t="str">
        <f>[1]Attendance!E22</f>
        <v>P</v>
      </c>
      <c r="F22" s="18" t="str">
        <f>[1]Attendance!F22</f>
        <v>P</v>
      </c>
      <c r="G22" s="18" t="str">
        <f>[1]Attendance!G22</f>
        <v>P</v>
      </c>
      <c r="H22" s="18" t="str">
        <f>[1]Attendance!H22</f>
        <v>P</v>
      </c>
      <c r="I22" s="18" t="str">
        <f>[1]Attendance!I22</f>
        <v>P</v>
      </c>
      <c r="J22" s="18" t="str">
        <f>[1]Attendance!J22</f>
        <v>H</v>
      </c>
      <c r="K22" s="18" t="str">
        <f>[1]Attendance!K22</f>
        <v>P</v>
      </c>
      <c r="L22" s="18" t="str">
        <f>[1]Attendance!L22</f>
        <v>P</v>
      </c>
      <c r="M22" s="18" t="str">
        <f>[1]Attendance!M22</f>
        <v>P</v>
      </c>
      <c r="N22" s="18" t="str">
        <f>[1]Attendance!N22</f>
        <v>P</v>
      </c>
      <c r="O22" s="18" t="str">
        <f>[1]Attendance!O22</f>
        <v>P</v>
      </c>
      <c r="P22" s="18" t="str">
        <f>[1]Attendance!P22</f>
        <v>P</v>
      </c>
      <c r="Q22" s="18" t="str">
        <f>[1]Attendance!Q22</f>
        <v>H</v>
      </c>
      <c r="R22" s="18" t="str">
        <f>[1]Attendance!R22</f>
        <v>P</v>
      </c>
      <c r="S22" s="18" t="str">
        <f>[1]Attendance!S22</f>
        <v>L</v>
      </c>
      <c r="T22" s="18" t="str">
        <f>[1]Attendance!T22</f>
        <v>L</v>
      </c>
      <c r="U22" s="18" t="str">
        <f>[1]Attendance!U22</f>
        <v>L</v>
      </c>
      <c r="V22" s="18" t="str">
        <f>[1]Attendance!V22</f>
        <v>L</v>
      </c>
      <c r="W22" s="18" t="str">
        <f>[1]Attendance!W22</f>
        <v>L</v>
      </c>
      <c r="X22" s="18" t="str">
        <f>[1]Attendance!X22</f>
        <v>H</v>
      </c>
      <c r="Y22" s="18" t="str">
        <f>[1]Attendance!Y22</f>
        <v>P</v>
      </c>
      <c r="Z22" s="18" t="str">
        <f>[1]Attendance!Z22</f>
        <v>P</v>
      </c>
      <c r="AA22" s="18" t="str">
        <f>[1]Attendance!AA22</f>
        <v>P</v>
      </c>
      <c r="AB22" s="18" t="str">
        <f>[1]Attendance!AB22</f>
        <v>P</v>
      </c>
      <c r="AC22" s="18" t="str">
        <f>[1]Attendance!AC22</f>
        <v>P</v>
      </c>
      <c r="AD22" s="18" t="str">
        <f>[1]Attendance!AD22</f>
        <v>P</v>
      </c>
      <c r="AE22" s="19">
        <f>[1]Attendance!AI22/[1]Attendance!AH22</f>
        <v>589.304347826087</v>
      </c>
      <c r="AF22" s="19">
        <f t="shared" si="1"/>
        <v>23</v>
      </c>
      <c r="AG22" s="20">
        <v>0</v>
      </c>
      <c r="AH22" s="20">
        <v>0</v>
      </c>
      <c r="AI22" s="20">
        <v>0</v>
      </c>
      <c r="AJ22" s="20">
        <v>0</v>
      </c>
      <c r="AK22" s="20">
        <v>0</v>
      </c>
      <c r="AL22" s="20">
        <f>AE22*3</f>
        <v>1767.913043478261</v>
      </c>
      <c r="AM22" s="20">
        <v>0</v>
      </c>
      <c r="AN22" s="20">
        <v>0</v>
      </c>
      <c r="AO22" s="20">
        <f>AE22*20</f>
        <v>11786.08695652174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f t="shared" si="2"/>
        <v>13554</v>
      </c>
    </row>
    <row r="23" spans="1:57" ht="17.100000000000001" customHeight="1" x14ac:dyDescent="0.35">
      <c r="A23" s="21">
        <v>20</v>
      </c>
      <c r="B23" s="17" t="str">
        <f>[1]Attendance!B23</f>
        <v>Kodavath Swamy</v>
      </c>
      <c r="C23" s="18" t="str">
        <f>[1]Attendance!C23</f>
        <v>H</v>
      </c>
      <c r="D23" s="18" t="str">
        <f>[1]Attendance!D23</f>
        <v>P</v>
      </c>
      <c r="E23" s="18" t="str">
        <f>[1]Attendance!E23</f>
        <v>P</v>
      </c>
      <c r="F23" s="18" t="str">
        <f>[1]Attendance!F23</f>
        <v>P</v>
      </c>
      <c r="G23" s="18" t="str">
        <f>[1]Attendance!G23</f>
        <v>P</v>
      </c>
      <c r="H23" s="18" t="str">
        <f>[1]Attendance!H23</f>
        <v>P</v>
      </c>
      <c r="I23" s="18" t="str">
        <f>[1]Attendance!I23</f>
        <v>P</v>
      </c>
      <c r="J23" s="18" t="str">
        <f>[1]Attendance!J23</f>
        <v>H</v>
      </c>
      <c r="K23" s="18" t="str">
        <f>[1]Attendance!K23</f>
        <v>P</v>
      </c>
      <c r="L23" s="18" t="str">
        <f>[1]Attendance!L23</f>
        <v>P</v>
      </c>
      <c r="M23" s="18" t="str">
        <f>[1]Attendance!M23</f>
        <v>P</v>
      </c>
      <c r="N23" s="18" t="str">
        <f>[1]Attendance!N23</f>
        <v>P</v>
      </c>
      <c r="O23" s="18" t="str">
        <f>[1]Attendance!O23</f>
        <v>P</v>
      </c>
      <c r="P23" s="18" t="str">
        <f>[1]Attendance!P23</f>
        <v>P</v>
      </c>
      <c r="Q23" s="18" t="str">
        <f>[1]Attendance!Q23</f>
        <v>H</v>
      </c>
      <c r="R23" s="18" t="str">
        <f>[1]Attendance!R23</f>
        <v>P</v>
      </c>
      <c r="S23" s="18" t="str">
        <f>[1]Attendance!S23</f>
        <v>P</v>
      </c>
      <c r="T23" s="18" t="str">
        <f>[1]Attendance!T23</f>
        <v>P</v>
      </c>
      <c r="U23" s="18" t="str">
        <f>[1]Attendance!U23</f>
        <v>P</v>
      </c>
      <c r="V23" s="18" t="str">
        <f>[1]Attendance!V23</f>
        <v>P</v>
      </c>
      <c r="W23" s="18" t="str">
        <f>[1]Attendance!W23</f>
        <v>P</v>
      </c>
      <c r="X23" s="18" t="str">
        <f>[1]Attendance!X23</f>
        <v>H</v>
      </c>
      <c r="Y23" s="18" t="str">
        <f>[1]Attendance!Y23</f>
        <v>P</v>
      </c>
      <c r="Z23" s="18" t="str">
        <f>[1]Attendance!Z23</f>
        <v>P</v>
      </c>
      <c r="AA23" s="18" t="str">
        <f>[1]Attendance!AA23</f>
        <v>P</v>
      </c>
      <c r="AB23" s="18" t="str">
        <f>[1]Attendance!AB23</f>
        <v>P</v>
      </c>
      <c r="AC23" s="18" t="str">
        <f>[1]Attendance!AC23</f>
        <v>P</v>
      </c>
      <c r="AD23" s="18" t="str">
        <f>[1]Attendance!AD23</f>
        <v>P</v>
      </c>
      <c r="AE23" s="19">
        <f>[1]Attendance!AI23/[1]Attendance!AH23</f>
        <v>589.28571428571433</v>
      </c>
      <c r="AF23" s="19">
        <f t="shared" si="1"/>
        <v>28</v>
      </c>
      <c r="AG23" s="20">
        <v>0</v>
      </c>
      <c r="AH23" s="20">
        <v>0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f>AE23*AF23</f>
        <v>16500</v>
      </c>
      <c r="BE23" s="20">
        <f t="shared" si="2"/>
        <v>16500</v>
      </c>
    </row>
    <row r="24" spans="1:57" ht="17.100000000000001" customHeight="1" x14ac:dyDescent="0.35">
      <c r="A24" s="16">
        <v>21</v>
      </c>
      <c r="B24" s="17" t="str">
        <f>[1]Attendance!B24</f>
        <v>Kolla Sudhakar</v>
      </c>
      <c r="C24" s="18" t="str">
        <f>[1]Attendance!C24</f>
        <v>H</v>
      </c>
      <c r="D24" s="18" t="str">
        <f>[1]Attendance!D24</f>
        <v>P</v>
      </c>
      <c r="E24" s="18" t="str">
        <f>[1]Attendance!E24</f>
        <v>P</v>
      </c>
      <c r="F24" s="18" t="str">
        <f>[1]Attendance!F24</f>
        <v>P</v>
      </c>
      <c r="G24" s="18" t="str">
        <f>[1]Attendance!G24</f>
        <v>P</v>
      </c>
      <c r="H24" s="18" t="str">
        <f>[1]Attendance!H24</f>
        <v>P</v>
      </c>
      <c r="I24" s="18" t="str">
        <f>[1]Attendance!I24</f>
        <v>P</v>
      </c>
      <c r="J24" s="18" t="str">
        <f>[1]Attendance!J24</f>
        <v>L</v>
      </c>
      <c r="K24" s="18" t="str">
        <f>[1]Attendance!K24</f>
        <v>L</v>
      </c>
      <c r="L24" s="18" t="str">
        <f>[1]Attendance!L24</f>
        <v>L</v>
      </c>
      <c r="M24" s="18" t="str">
        <f>[1]Attendance!M24</f>
        <v>L</v>
      </c>
      <c r="N24" s="18" t="str">
        <f>[1]Attendance!N24</f>
        <v>L</v>
      </c>
      <c r="O24" s="18" t="str">
        <f>[1]Attendance!O24</f>
        <v>L</v>
      </c>
      <c r="P24" s="18" t="str">
        <f>[1]Attendance!P24</f>
        <v>L</v>
      </c>
      <c r="Q24" s="18" t="str">
        <f>[1]Attendance!Q24</f>
        <v>L</v>
      </c>
      <c r="R24" s="18" t="str">
        <f>[1]Attendance!R24</f>
        <v>L</v>
      </c>
      <c r="S24" s="18" t="str">
        <f>[1]Attendance!S24</f>
        <v>L</v>
      </c>
      <c r="T24" s="18" t="str">
        <f>[1]Attendance!T24</f>
        <v>L</v>
      </c>
      <c r="U24" s="18" t="str">
        <f>[1]Attendance!U24</f>
        <v>L</v>
      </c>
      <c r="V24" s="18" t="str">
        <f>[1]Attendance!V24</f>
        <v>L</v>
      </c>
      <c r="W24" s="18" t="str">
        <f>[1]Attendance!W24</f>
        <v>L</v>
      </c>
      <c r="X24" s="18" t="str">
        <f>[1]Attendance!X24</f>
        <v>L</v>
      </c>
      <c r="Y24" s="18" t="str">
        <f>[1]Attendance!Y24</f>
        <v>L</v>
      </c>
      <c r="Z24" s="18" t="str">
        <f>[1]Attendance!Z24</f>
        <v>L</v>
      </c>
      <c r="AA24" s="18" t="str">
        <f>[1]Attendance!AA24</f>
        <v>L</v>
      </c>
      <c r="AB24" s="18" t="str">
        <f>[1]Attendance!AB24</f>
        <v>L</v>
      </c>
      <c r="AC24" s="18" t="str">
        <f>[1]Attendance!AC24</f>
        <v>L</v>
      </c>
      <c r="AD24" s="18" t="str">
        <f>[1]Attendance!AD24</f>
        <v>L</v>
      </c>
      <c r="AE24" s="19">
        <f>[1]Attendance!AI24/[1]Attendance!AH24</f>
        <v>589.28571428571433</v>
      </c>
      <c r="AF24" s="19">
        <f t="shared" si="1"/>
        <v>7</v>
      </c>
      <c r="AG24" s="20">
        <v>0</v>
      </c>
      <c r="AH24" s="20">
        <v>0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f>AE24*AF24</f>
        <v>4125</v>
      </c>
      <c r="BD24" s="20">
        <v>0</v>
      </c>
      <c r="BE24" s="20">
        <f t="shared" si="2"/>
        <v>4125</v>
      </c>
    </row>
    <row r="25" spans="1:57" ht="17.100000000000001" customHeight="1" x14ac:dyDescent="0.35">
      <c r="A25" s="21">
        <v>22</v>
      </c>
      <c r="B25" s="17" t="str">
        <f>[1]Attendance!B25</f>
        <v>Kunduru Upender Reddy</v>
      </c>
      <c r="C25" s="18" t="str">
        <f>[1]Attendance!C25</f>
        <v>H</v>
      </c>
      <c r="D25" s="18" t="str">
        <f>[1]Attendance!D25</f>
        <v>L</v>
      </c>
      <c r="E25" s="18" t="str">
        <f>[1]Attendance!E25</f>
        <v>L</v>
      </c>
      <c r="F25" s="18" t="str">
        <f>[1]Attendance!F25</f>
        <v>L</v>
      </c>
      <c r="G25" s="18" t="str">
        <f>[1]Attendance!G25</f>
        <v>L</v>
      </c>
      <c r="H25" s="18" t="str">
        <f>[1]Attendance!H25</f>
        <v>L</v>
      </c>
      <c r="I25" s="18" t="str">
        <f>[1]Attendance!I25</f>
        <v>L</v>
      </c>
      <c r="J25" s="18" t="str">
        <f>[1]Attendance!J25</f>
        <v>H</v>
      </c>
      <c r="K25" s="18" t="str">
        <f>[1]Attendance!K25</f>
        <v>P</v>
      </c>
      <c r="L25" s="18" t="str">
        <f>[1]Attendance!L25</f>
        <v>P</v>
      </c>
      <c r="M25" s="18" t="str">
        <f>[1]Attendance!M25</f>
        <v>P</v>
      </c>
      <c r="N25" s="18" t="str">
        <f>[1]Attendance!N25</f>
        <v>P</v>
      </c>
      <c r="O25" s="18" t="str">
        <f>[1]Attendance!O25</f>
        <v>P</v>
      </c>
      <c r="P25" s="18" t="str">
        <f>[1]Attendance!P25</f>
        <v>P</v>
      </c>
      <c r="Q25" s="18" t="str">
        <f>[1]Attendance!Q25</f>
        <v>H</v>
      </c>
      <c r="R25" s="18" t="str">
        <f>[1]Attendance!R25</f>
        <v>P</v>
      </c>
      <c r="S25" s="18" t="str">
        <f>[1]Attendance!S25</f>
        <v>P</v>
      </c>
      <c r="T25" s="18" t="str">
        <f>[1]Attendance!T25</f>
        <v>P</v>
      </c>
      <c r="U25" s="18" t="str">
        <f>[1]Attendance!U25</f>
        <v>P</v>
      </c>
      <c r="V25" s="18" t="str">
        <f>[1]Attendance!V25</f>
        <v>P</v>
      </c>
      <c r="W25" s="18" t="str">
        <f>[1]Attendance!W25</f>
        <v>P</v>
      </c>
      <c r="X25" s="18" t="str">
        <f>[1]Attendance!X25</f>
        <v>H</v>
      </c>
      <c r="Y25" s="18" t="str">
        <f>[1]Attendance!Y25</f>
        <v>P</v>
      </c>
      <c r="Z25" s="18" t="str">
        <f>[1]Attendance!Z25</f>
        <v>P</v>
      </c>
      <c r="AA25" s="18" t="str">
        <f>[1]Attendance!AA25</f>
        <v>P</v>
      </c>
      <c r="AB25" s="18" t="str">
        <f>[1]Attendance!AB25</f>
        <v>P</v>
      </c>
      <c r="AC25" s="18" t="str">
        <f>[1]Attendance!AC25</f>
        <v>L</v>
      </c>
      <c r="AD25" s="18" t="str">
        <f>[1]Attendance!AD25</f>
        <v>P</v>
      </c>
      <c r="AE25" s="19">
        <f>[1]Attendance!AI25/[1]Attendance!AH25</f>
        <v>589.28571428571433</v>
      </c>
      <c r="AF25" s="19">
        <f t="shared" si="1"/>
        <v>21</v>
      </c>
      <c r="AG25" s="20">
        <v>0</v>
      </c>
      <c r="AH25" s="20">
        <v>0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f>AE25*AF25</f>
        <v>12375.000000000002</v>
      </c>
      <c r="BE25" s="20">
        <f t="shared" si="2"/>
        <v>12375</v>
      </c>
    </row>
    <row r="26" spans="1:57" ht="17.100000000000001" customHeight="1" x14ac:dyDescent="0.35">
      <c r="A26" s="16">
        <v>23</v>
      </c>
      <c r="B26" s="17" t="str">
        <f>[1]Attendance!B26</f>
        <v>M jathin sai</v>
      </c>
      <c r="C26" s="18" t="str">
        <f>[1]Attendance!C26</f>
        <v>H</v>
      </c>
      <c r="D26" s="18" t="str">
        <f>[1]Attendance!D26</f>
        <v>P</v>
      </c>
      <c r="E26" s="18" t="str">
        <f>[1]Attendance!E26</f>
        <v>P</v>
      </c>
      <c r="F26" s="18" t="str">
        <f>[1]Attendance!F26</f>
        <v>P</v>
      </c>
      <c r="G26" s="18" t="str">
        <f>[1]Attendance!G26</f>
        <v>P</v>
      </c>
      <c r="H26" s="18" t="str">
        <f>[1]Attendance!H26</f>
        <v>P</v>
      </c>
      <c r="I26" s="18" t="str">
        <f>[1]Attendance!I26</f>
        <v>P</v>
      </c>
      <c r="J26" s="18" t="str">
        <f>[1]Attendance!J26</f>
        <v>H</v>
      </c>
      <c r="K26" s="18" t="str">
        <f>[1]Attendance!K26</f>
        <v>P</v>
      </c>
      <c r="L26" s="18" t="str">
        <f>[1]Attendance!L26</f>
        <v>P</v>
      </c>
      <c r="M26" s="18" t="str">
        <f>[1]Attendance!M26</f>
        <v>P</v>
      </c>
      <c r="N26" s="18" t="str">
        <f>[1]Attendance!N26</f>
        <v>P</v>
      </c>
      <c r="O26" s="18" t="str">
        <f>[1]Attendance!O26</f>
        <v>P</v>
      </c>
      <c r="P26" s="18" t="str">
        <f>[1]Attendance!P26</f>
        <v>P</v>
      </c>
      <c r="Q26" s="18" t="str">
        <f>[1]Attendance!Q26</f>
        <v>H</v>
      </c>
      <c r="R26" s="18" t="str">
        <f>[1]Attendance!R26</f>
        <v>P</v>
      </c>
      <c r="S26" s="18" t="str">
        <f>[1]Attendance!S26</f>
        <v>P</v>
      </c>
      <c r="T26" s="18" t="str">
        <f>[1]Attendance!T26</f>
        <v>P</v>
      </c>
      <c r="U26" s="18" t="str">
        <f>[1]Attendance!U26</f>
        <v>P</v>
      </c>
      <c r="V26" s="18" t="str">
        <f>[1]Attendance!V26</f>
        <v>P</v>
      </c>
      <c r="W26" s="18" t="str">
        <f>[1]Attendance!W26</f>
        <v>P</v>
      </c>
      <c r="X26" s="18" t="str">
        <f>[1]Attendance!X26</f>
        <v>H</v>
      </c>
      <c r="Y26" s="18" t="str">
        <f>[1]Attendance!Y26</f>
        <v>P</v>
      </c>
      <c r="Z26" s="18" t="str">
        <f>[1]Attendance!Z26</f>
        <v>P</v>
      </c>
      <c r="AA26" s="18" t="str">
        <f>[1]Attendance!AA26</f>
        <v>P</v>
      </c>
      <c r="AB26" s="18" t="str">
        <f>[1]Attendance!AB26</f>
        <v>P</v>
      </c>
      <c r="AC26" s="18" t="str">
        <f>[1]Attendance!AC26</f>
        <v>P</v>
      </c>
      <c r="AD26" s="18" t="str">
        <f>[1]Attendance!AD26</f>
        <v>P</v>
      </c>
      <c r="AE26" s="19">
        <f>[1]Attendance!AI26/[1]Attendance!AH26</f>
        <v>589.28571428571433</v>
      </c>
      <c r="AF26" s="19">
        <f t="shared" si="1"/>
        <v>28</v>
      </c>
      <c r="AG26" s="20">
        <v>0</v>
      </c>
      <c r="AH26" s="20">
        <v>0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f>AE26*AF26</f>
        <v>16500</v>
      </c>
      <c r="BE26" s="20">
        <f t="shared" si="2"/>
        <v>16500</v>
      </c>
    </row>
    <row r="27" spans="1:57" ht="17.100000000000001" customHeight="1" x14ac:dyDescent="0.35">
      <c r="A27" s="21">
        <v>24</v>
      </c>
      <c r="B27" s="17" t="str">
        <f>[1]Attendance!B27</f>
        <v>M Sunitha</v>
      </c>
      <c r="C27" s="18" t="str">
        <f>[1]Attendance!C27</f>
        <v>H</v>
      </c>
      <c r="D27" s="18" t="str">
        <f>[1]Attendance!D27</f>
        <v>P</v>
      </c>
      <c r="E27" s="18" t="str">
        <f>[1]Attendance!E27</f>
        <v>P</v>
      </c>
      <c r="F27" s="18" t="str">
        <f>[1]Attendance!F27</f>
        <v>P</v>
      </c>
      <c r="G27" s="18" t="str">
        <f>[1]Attendance!G27</f>
        <v>P</v>
      </c>
      <c r="H27" s="18" t="str">
        <f>[1]Attendance!H27</f>
        <v>P</v>
      </c>
      <c r="I27" s="18" t="str">
        <f>[1]Attendance!I27</f>
        <v>P</v>
      </c>
      <c r="J27" s="18" t="str">
        <f>[1]Attendance!J27</f>
        <v>H</v>
      </c>
      <c r="K27" s="18" t="str">
        <f>[1]Attendance!K27</f>
        <v>P</v>
      </c>
      <c r="L27" s="18" t="str">
        <f>[1]Attendance!L27</f>
        <v>P</v>
      </c>
      <c r="M27" s="18" t="str">
        <f>[1]Attendance!M27</f>
        <v>P</v>
      </c>
      <c r="N27" s="18" t="str">
        <f>[1]Attendance!N27</f>
        <v>P</v>
      </c>
      <c r="O27" s="18" t="str">
        <f>[1]Attendance!O27</f>
        <v>P</v>
      </c>
      <c r="P27" s="18" t="str">
        <f>[1]Attendance!P27</f>
        <v>P</v>
      </c>
      <c r="Q27" s="18" t="str">
        <f>[1]Attendance!Q27</f>
        <v>H</v>
      </c>
      <c r="R27" s="18" t="str">
        <f>[1]Attendance!R27</f>
        <v>P</v>
      </c>
      <c r="S27" s="18" t="str">
        <f>[1]Attendance!S27</f>
        <v>P</v>
      </c>
      <c r="T27" s="18" t="str">
        <f>[1]Attendance!T27</f>
        <v>P</v>
      </c>
      <c r="U27" s="18" t="str">
        <f>[1]Attendance!U27</f>
        <v>P</v>
      </c>
      <c r="V27" s="18" t="str">
        <f>[1]Attendance!V27</f>
        <v>P</v>
      </c>
      <c r="W27" s="18" t="str">
        <f>[1]Attendance!W27</f>
        <v>P</v>
      </c>
      <c r="X27" s="18" t="str">
        <f>[1]Attendance!X27</f>
        <v>H</v>
      </c>
      <c r="Y27" s="18" t="str">
        <f>[1]Attendance!Y27</f>
        <v>P</v>
      </c>
      <c r="Z27" s="18" t="str">
        <f>[1]Attendance!Z27</f>
        <v>P</v>
      </c>
      <c r="AA27" s="18" t="str">
        <f>[1]Attendance!AA27</f>
        <v>P</v>
      </c>
      <c r="AB27" s="18" t="str">
        <f>[1]Attendance!AB27</f>
        <v>P</v>
      </c>
      <c r="AC27" s="18" t="str">
        <f>[1]Attendance!AC27</f>
        <v>P</v>
      </c>
      <c r="AD27" s="18" t="str">
        <f>[1]Attendance!AD27</f>
        <v>P</v>
      </c>
      <c r="AE27" s="19">
        <f>[1]Attendance!AI27/[1]Attendance!AH27</f>
        <v>589.28571428571433</v>
      </c>
      <c r="AF27" s="19">
        <f t="shared" si="1"/>
        <v>28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f>AE27*AF27</f>
        <v>16500</v>
      </c>
      <c r="BE27" s="20">
        <f t="shared" si="2"/>
        <v>16500</v>
      </c>
    </row>
    <row r="28" spans="1:57" ht="17.100000000000001" customHeight="1" x14ac:dyDescent="0.35">
      <c r="A28" s="16">
        <v>25</v>
      </c>
      <c r="B28" s="17" t="str">
        <f>[1]Attendance!B28</f>
        <v>M Swarupa</v>
      </c>
      <c r="C28" s="18" t="str">
        <f>[1]Attendance!C28</f>
        <v>H</v>
      </c>
      <c r="D28" s="18" t="str">
        <f>[1]Attendance!D28</f>
        <v>L</v>
      </c>
      <c r="E28" s="18" t="str">
        <f>[1]Attendance!E28</f>
        <v>P</v>
      </c>
      <c r="F28" s="18" t="str">
        <f>[1]Attendance!F28</f>
        <v>P</v>
      </c>
      <c r="G28" s="18" t="str">
        <f>[1]Attendance!G28</f>
        <v>P</v>
      </c>
      <c r="H28" s="18" t="str">
        <f>[1]Attendance!H28</f>
        <v>P</v>
      </c>
      <c r="I28" s="18" t="str">
        <f>[1]Attendance!I28</f>
        <v>P</v>
      </c>
      <c r="J28" s="18" t="str">
        <f>[1]Attendance!J28</f>
        <v>H</v>
      </c>
      <c r="K28" s="18" t="str">
        <f>[1]Attendance!K28</f>
        <v>P</v>
      </c>
      <c r="L28" s="18" t="str">
        <f>[1]Attendance!L28</f>
        <v>P</v>
      </c>
      <c r="M28" s="18" t="str">
        <f>[1]Attendance!M28</f>
        <v>P</v>
      </c>
      <c r="N28" s="18" t="str">
        <f>[1]Attendance!N28</f>
        <v>P</v>
      </c>
      <c r="O28" s="18" t="str">
        <f>[1]Attendance!O28</f>
        <v>P</v>
      </c>
      <c r="P28" s="18" t="str">
        <f>[1]Attendance!P28</f>
        <v>L</v>
      </c>
      <c r="Q28" s="18" t="str">
        <f>[1]Attendance!Q28</f>
        <v>H</v>
      </c>
      <c r="R28" s="18" t="str">
        <f>[1]Attendance!R28</f>
        <v>L</v>
      </c>
      <c r="S28" s="18" t="str">
        <f>[1]Attendance!S28</f>
        <v>L</v>
      </c>
      <c r="T28" s="18" t="str">
        <f>[1]Attendance!T28</f>
        <v>P</v>
      </c>
      <c r="U28" s="18" t="str">
        <f>[1]Attendance!U28</f>
        <v>P</v>
      </c>
      <c r="V28" s="18" t="str">
        <f>[1]Attendance!V28</f>
        <v>P</v>
      </c>
      <c r="W28" s="18" t="str">
        <f>[1]Attendance!W28</f>
        <v>P</v>
      </c>
      <c r="X28" s="18" t="str">
        <f>[1]Attendance!X28</f>
        <v>H</v>
      </c>
      <c r="Y28" s="18" t="str">
        <f>[1]Attendance!Y28</f>
        <v>P</v>
      </c>
      <c r="Z28" s="18" t="str">
        <f>[1]Attendance!Z28</f>
        <v>P</v>
      </c>
      <c r="AA28" s="18" t="str">
        <f>[1]Attendance!AA28</f>
        <v>P</v>
      </c>
      <c r="AB28" s="18" t="str">
        <f>[1]Attendance!AB28</f>
        <v>P</v>
      </c>
      <c r="AC28" s="18" t="str">
        <f>[1]Attendance!AC28</f>
        <v>P</v>
      </c>
      <c r="AD28" s="18" t="str">
        <f>[1]Attendance!AD28</f>
        <v>P</v>
      </c>
      <c r="AE28" s="19">
        <f>[1]Attendance!AI28/[1]Attendance!AH28</f>
        <v>589.29166666666663</v>
      </c>
      <c r="AF28" s="19">
        <f t="shared" si="1"/>
        <v>24</v>
      </c>
      <c r="AG28" s="20">
        <v>0</v>
      </c>
      <c r="AH28" s="20">
        <v>0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f>AE28*10</f>
        <v>5892.9166666666661</v>
      </c>
      <c r="AY28" s="20">
        <v>0</v>
      </c>
      <c r="AZ28" s="20">
        <v>0</v>
      </c>
      <c r="BA28" s="20">
        <f>AE28*14</f>
        <v>8250.0833333333321</v>
      </c>
      <c r="BB28" s="20">
        <v>0</v>
      </c>
      <c r="BC28" s="20">
        <v>0</v>
      </c>
      <c r="BD28" s="20">
        <v>0</v>
      </c>
      <c r="BE28" s="20">
        <f t="shared" si="2"/>
        <v>14143</v>
      </c>
    </row>
    <row r="29" spans="1:57" ht="17.100000000000001" customHeight="1" x14ac:dyDescent="0.35">
      <c r="A29" s="21">
        <v>26</v>
      </c>
      <c r="B29" s="17" t="str">
        <f>[1]Attendance!B29</f>
        <v>M.Esthar Rani</v>
      </c>
      <c r="C29" s="18" t="str">
        <f>[1]Attendance!C29</f>
        <v>H</v>
      </c>
      <c r="D29" s="18" t="str">
        <f>[1]Attendance!D29</f>
        <v>P</v>
      </c>
      <c r="E29" s="18" t="str">
        <f>[1]Attendance!E29</f>
        <v>P</v>
      </c>
      <c r="F29" s="18" t="str">
        <f>[1]Attendance!F29</f>
        <v>P</v>
      </c>
      <c r="G29" s="18" t="str">
        <f>[1]Attendance!G29</f>
        <v>P</v>
      </c>
      <c r="H29" s="18" t="str">
        <f>[1]Attendance!H29</f>
        <v>P</v>
      </c>
      <c r="I29" s="18" t="str">
        <f>[1]Attendance!I29</f>
        <v>P</v>
      </c>
      <c r="J29" s="18" t="str">
        <f>[1]Attendance!J29</f>
        <v>H</v>
      </c>
      <c r="K29" s="18" t="str">
        <f>[1]Attendance!K29</f>
        <v>L</v>
      </c>
      <c r="L29" s="18" t="str">
        <f>[1]Attendance!L29</f>
        <v>P</v>
      </c>
      <c r="M29" s="18" t="str">
        <f>[1]Attendance!M29</f>
        <v>P</v>
      </c>
      <c r="N29" s="18" t="str">
        <f>[1]Attendance!N29</f>
        <v>P</v>
      </c>
      <c r="O29" s="18" t="str">
        <f>[1]Attendance!O29</f>
        <v>P</v>
      </c>
      <c r="P29" s="18" t="str">
        <f>[1]Attendance!P29</f>
        <v>P</v>
      </c>
      <c r="Q29" s="18" t="str">
        <f>[1]Attendance!Q29</f>
        <v>H</v>
      </c>
      <c r="R29" s="18" t="str">
        <f>[1]Attendance!R29</f>
        <v>P</v>
      </c>
      <c r="S29" s="18" t="str">
        <f>[1]Attendance!S29</f>
        <v>P</v>
      </c>
      <c r="T29" s="18" t="str">
        <f>[1]Attendance!T29</f>
        <v>P</v>
      </c>
      <c r="U29" s="18" t="str">
        <f>[1]Attendance!U29</f>
        <v>P</v>
      </c>
      <c r="V29" s="18" t="str">
        <f>[1]Attendance!V29</f>
        <v>P</v>
      </c>
      <c r="W29" s="18" t="str">
        <f>[1]Attendance!W29</f>
        <v>L</v>
      </c>
      <c r="X29" s="18" t="str">
        <f>[1]Attendance!X29</f>
        <v>H</v>
      </c>
      <c r="Y29" s="18" t="str">
        <f>[1]Attendance!Y29</f>
        <v>P</v>
      </c>
      <c r="Z29" s="18" t="str">
        <f>[1]Attendance!Z29</f>
        <v>P</v>
      </c>
      <c r="AA29" s="18" t="str">
        <f>[1]Attendance!AA29</f>
        <v>P</v>
      </c>
      <c r="AB29" s="18" t="str">
        <f>[1]Attendance!AB29</f>
        <v>P</v>
      </c>
      <c r="AC29" s="18" t="str">
        <f>[1]Attendance!AC29</f>
        <v>P</v>
      </c>
      <c r="AD29" s="18" t="str">
        <f>[1]Attendance!AD29</f>
        <v>P</v>
      </c>
      <c r="AE29" s="19">
        <f>[1]Attendance!AI29/[1]Attendance!AH29</f>
        <v>589.26923076923072</v>
      </c>
      <c r="AF29" s="19">
        <f t="shared" si="1"/>
        <v>26</v>
      </c>
      <c r="AG29" s="20">
        <v>0</v>
      </c>
      <c r="AH29" s="20">
        <f>AE29*AF29</f>
        <v>15320.999999999998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f t="shared" si="2"/>
        <v>15321</v>
      </c>
    </row>
    <row r="30" spans="1:57" ht="17.100000000000001" customHeight="1" x14ac:dyDescent="0.35">
      <c r="A30" s="16">
        <v>27</v>
      </c>
      <c r="B30" s="17" t="str">
        <f>[1]Attendance!B30</f>
        <v>Mamidi Raj kumar</v>
      </c>
      <c r="C30" s="18" t="str">
        <f>[1]Attendance!C30</f>
        <v>H</v>
      </c>
      <c r="D30" s="18" t="str">
        <f>[1]Attendance!D30</f>
        <v>P</v>
      </c>
      <c r="E30" s="18" t="str">
        <f>[1]Attendance!E30</f>
        <v>P</v>
      </c>
      <c r="F30" s="18" t="str">
        <f>[1]Attendance!F30</f>
        <v>P</v>
      </c>
      <c r="G30" s="18" t="str">
        <f>[1]Attendance!G30</f>
        <v>P</v>
      </c>
      <c r="H30" s="18" t="str">
        <f>[1]Attendance!H30</f>
        <v>P</v>
      </c>
      <c r="I30" s="18" t="str">
        <f>[1]Attendance!I30</f>
        <v>P</v>
      </c>
      <c r="J30" s="18" t="str">
        <f>[1]Attendance!J30</f>
        <v>H</v>
      </c>
      <c r="K30" s="18" t="str">
        <f>[1]Attendance!K30</f>
        <v>P</v>
      </c>
      <c r="L30" s="18" t="str">
        <f>[1]Attendance!L30</f>
        <v>P</v>
      </c>
      <c r="M30" s="18" t="str">
        <f>[1]Attendance!M30</f>
        <v>P</v>
      </c>
      <c r="N30" s="18" t="str">
        <f>[1]Attendance!N30</f>
        <v>P</v>
      </c>
      <c r="O30" s="18" t="str">
        <f>[1]Attendance!O30</f>
        <v>P</v>
      </c>
      <c r="P30" s="18" t="str">
        <f>[1]Attendance!P30</f>
        <v>P</v>
      </c>
      <c r="Q30" s="18" t="str">
        <f>[1]Attendance!Q30</f>
        <v>H</v>
      </c>
      <c r="R30" s="18" t="str">
        <f>[1]Attendance!R30</f>
        <v>P</v>
      </c>
      <c r="S30" s="18" t="str">
        <f>[1]Attendance!S30</f>
        <v>L</v>
      </c>
      <c r="T30" s="18" t="str">
        <f>[1]Attendance!T30</f>
        <v>P</v>
      </c>
      <c r="U30" s="18" t="str">
        <f>[1]Attendance!U30</f>
        <v>P</v>
      </c>
      <c r="V30" s="18" t="str">
        <f>[1]Attendance!V30</f>
        <v>P</v>
      </c>
      <c r="W30" s="18" t="str">
        <f>[1]Attendance!W30</f>
        <v>P</v>
      </c>
      <c r="X30" s="18" t="str">
        <f>[1]Attendance!X30</f>
        <v>H</v>
      </c>
      <c r="Y30" s="18" t="str">
        <f>[1]Attendance!Y30</f>
        <v>P</v>
      </c>
      <c r="Z30" s="18" t="str">
        <f>[1]Attendance!Z30</f>
        <v>P</v>
      </c>
      <c r="AA30" s="18" t="str">
        <f>[1]Attendance!AA30</f>
        <v>L</v>
      </c>
      <c r="AB30" s="18" t="str">
        <f>[1]Attendance!AB30</f>
        <v>P</v>
      </c>
      <c r="AC30" s="18" t="str">
        <f>[1]Attendance!AC30</f>
        <v>P</v>
      </c>
      <c r="AD30" s="18" t="str">
        <f>[1]Attendance!AD30</f>
        <v>P</v>
      </c>
      <c r="AE30" s="19">
        <f>[1]Attendance!AI30/[1]Attendance!AH30</f>
        <v>589.26923076923072</v>
      </c>
      <c r="AF30" s="19">
        <f t="shared" si="1"/>
        <v>26</v>
      </c>
      <c r="AG30" s="20">
        <v>0</v>
      </c>
      <c r="AH30" s="20">
        <v>0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f>AE30*AF30</f>
        <v>15320.999999999998</v>
      </c>
      <c r="BE30" s="20">
        <f t="shared" si="2"/>
        <v>15321</v>
      </c>
    </row>
    <row r="31" spans="1:57" ht="17.100000000000001" customHeight="1" x14ac:dyDescent="0.35">
      <c r="A31" s="21">
        <v>28</v>
      </c>
      <c r="B31" s="17" t="str">
        <f>[1]Attendance!B31</f>
        <v>Md Mainoddin</v>
      </c>
      <c r="C31" s="18" t="str">
        <f>[1]Attendance!C31</f>
        <v>H</v>
      </c>
      <c r="D31" s="18" t="str">
        <f>[1]Attendance!D31</f>
        <v>P</v>
      </c>
      <c r="E31" s="18" t="str">
        <f>[1]Attendance!E31</f>
        <v>P</v>
      </c>
      <c r="F31" s="18" t="str">
        <f>[1]Attendance!F31</f>
        <v>P</v>
      </c>
      <c r="G31" s="18" t="str">
        <f>[1]Attendance!G31</f>
        <v>P</v>
      </c>
      <c r="H31" s="18" t="str">
        <f>[1]Attendance!H31</f>
        <v>P</v>
      </c>
      <c r="I31" s="18" t="str">
        <f>[1]Attendance!I31</f>
        <v>P</v>
      </c>
      <c r="J31" s="18" t="str">
        <f>[1]Attendance!J31</f>
        <v>H</v>
      </c>
      <c r="K31" s="18" t="str">
        <f>[1]Attendance!K31</f>
        <v>P</v>
      </c>
      <c r="L31" s="18" t="str">
        <f>[1]Attendance!L31</f>
        <v>P</v>
      </c>
      <c r="M31" s="18" t="str">
        <f>[1]Attendance!M31</f>
        <v>P</v>
      </c>
      <c r="N31" s="18" t="str">
        <f>[1]Attendance!N31</f>
        <v>P</v>
      </c>
      <c r="O31" s="18" t="str">
        <f>[1]Attendance!O31</f>
        <v>P</v>
      </c>
      <c r="P31" s="18" t="str">
        <f>[1]Attendance!P31</f>
        <v>P</v>
      </c>
      <c r="Q31" s="18" t="str">
        <f>[1]Attendance!Q31</f>
        <v>H</v>
      </c>
      <c r="R31" s="18" t="str">
        <f>[1]Attendance!R31</f>
        <v>P</v>
      </c>
      <c r="S31" s="18" t="str">
        <f>[1]Attendance!S31</f>
        <v>P</v>
      </c>
      <c r="T31" s="18" t="str">
        <f>[1]Attendance!T31</f>
        <v>P</v>
      </c>
      <c r="U31" s="18" t="str">
        <f>[1]Attendance!U31</f>
        <v>P</v>
      </c>
      <c r="V31" s="18" t="str">
        <f>[1]Attendance!V31</f>
        <v>P</v>
      </c>
      <c r="W31" s="18" t="str">
        <f>[1]Attendance!W31</f>
        <v>P</v>
      </c>
      <c r="X31" s="18" t="str">
        <f>[1]Attendance!X31</f>
        <v>H</v>
      </c>
      <c r="Y31" s="18" t="str">
        <f>[1]Attendance!Y31</f>
        <v>P</v>
      </c>
      <c r="Z31" s="18" t="str">
        <f>[1]Attendance!Z31</f>
        <v>P</v>
      </c>
      <c r="AA31" s="18" t="str">
        <f>[1]Attendance!AA31</f>
        <v>P</v>
      </c>
      <c r="AB31" s="18" t="str">
        <f>[1]Attendance!AB31</f>
        <v>P</v>
      </c>
      <c r="AC31" s="18" t="str">
        <f>[1]Attendance!AC31</f>
        <v>P</v>
      </c>
      <c r="AD31" s="18" t="str">
        <f>[1]Attendance!AD31</f>
        <v>P</v>
      </c>
      <c r="AE31" s="19">
        <f>[1]Attendance!AI31/[1]Attendance!AH31</f>
        <v>589.28571428571433</v>
      </c>
      <c r="AF31" s="19">
        <f t="shared" si="1"/>
        <v>28</v>
      </c>
      <c r="AG31" s="20">
        <v>0</v>
      </c>
      <c r="AH31" s="20">
        <v>0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f>AE31*AF31</f>
        <v>16500</v>
      </c>
      <c r="BE31" s="20">
        <f t="shared" si="2"/>
        <v>16500</v>
      </c>
    </row>
    <row r="32" spans="1:57" ht="17.100000000000001" customHeight="1" x14ac:dyDescent="0.35">
      <c r="A32" s="16">
        <v>29</v>
      </c>
      <c r="B32" s="17" t="str">
        <f>[1]Attendance!B32</f>
        <v>Mekala Anusha</v>
      </c>
      <c r="C32" s="18" t="str">
        <f>[1]Attendance!C32</f>
        <v>H</v>
      </c>
      <c r="D32" s="18" t="str">
        <f>[1]Attendance!D32</f>
        <v>P</v>
      </c>
      <c r="E32" s="18" t="str">
        <f>[1]Attendance!E32</f>
        <v>P</v>
      </c>
      <c r="F32" s="18" t="str">
        <f>[1]Attendance!F32</f>
        <v>P</v>
      </c>
      <c r="G32" s="18" t="str">
        <f>[1]Attendance!G32</f>
        <v>P</v>
      </c>
      <c r="H32" s="18" t="str">
        <f>[1]Attendance!H32</f>
        <v>P</v>
      </c>
      <c r="I32" s="18" t="str">
        <f>[1]Attendance!I32</f>
        <v>P</v>
      </c>
      <c r="J32" s="18" t="str">
        <f>[1]Attendance!J32</f>
        <v>H</v>
      </c>
      <c r="K32" s="18" t="str">
        <f>[1]Attendance!K32</f>
        <v>P</v>
      </c>
      <c r="L32" s="18" t="str">
        <f>[1]Attendance!L32</f>
        <v>P</v>
      </c>
      <c r="M32" s="18" t="str">
        <f>[1]Attendance!M32</f>
        <v>P</v>
      </c>
      <c r="N32" s="18" t="str">
        <f>[1]Attendance!N32</f>
        <v>P</v>
      </c>
      <c r="O32" s="18" t="str">
        <f>[1]Attendance!O32</f>
        <v>P</v>
      </c>
      <c r="P32" s="18" t="str">
        <f>[1]Attendance!P32</f>
        <v>P</v>
      </c>
      <c r="Q32" s="18" t="str">
        <f>[1]Attendance!Q32</f>
        <v>H</v>
      </c>
      <c r="R32" s="18" t="str">
        <f>[1]Attendance!R32</f>
        <v>P</v>
      </c>
      <c r="S32" s="18" t="str">
        <f>[1]Attendance!S32</f>
        <v>P</v>
      </c>
      <c r="T32" s="18" t="str">
        <f>[1]Attendance!T32</f>
        <v>P</v>
      </c>
      <c r="U32" s="18" t="str">
        <f>[1]Attendance!U32</f>
        <v>P</v>
      </c>
      <c r="V32" s="18" t="str">
        <f>[1]Attendance!V32</f>
        <v>P</v>
      </c>
      <c r="W32" s="18" t="str">
        <f>[1]Attendance!W32</f>
        <v>P</v>
      </c>
      <c r="X32" s="18" t="str">
        <f>[1]Attendance!X32</f>
        <v>H</v>
      </c>
      <c r="Y32" s="18" t="str">
        <f>[1]Attendance!Y32</f>
        <v>P</v>
      </c>
      <c r="Z32" s="18" t="str">
        <f>[1]Attendance!Z32</f>
        <v>P</v>
      </c>
      <c r="AA32" s="18" t="str">
        <f>[1]Attendance!AA32</f>
        <v>P</v>
      </c>
      <c r="AB32" s="18" t="str">
        <f>[1]Attendance!AB32</f>
        <v>P</v>
      </c>
      <c r="AC32" s="18" t="str">
        <f>[1]Attendance!AC32</f>
        <v>P</v>
      </c>
      <c r="AD32" s="18" t="str">
        <f>[1]Attendance!AD32</f>
        <v>P</v>
      </c>
      <c r="AE32" s="19">
        <f>[1]Attendance!AI32/[1]Attendance!AH32</f>
        <v>589.28571428571433</v>
      </c>
      <c r="AF32" s="19">
        <f t="shared" si="1"/>
        <v>28</v>
      </c>
      <c r="AG32" s="20">
        <v>0</v>
      </c>
      <c r="AH32" s="20">
        <v>0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f>AE32*AF32</f>
        <v>16500</v>
      </c>
      <c r="BE32" s="20">
        <f t="shared" si="2"/>
        <v>16500</v>
      </c>
    </row>
    <row r="33" spans="1:57" ht="17.100000000000001" customHeight="1" x14ac:dyDescent="0.35">
      <c r="A33" s="21">
        <v>30</v>
      </c>
      <c r="B33" s="17" t="str">
        <f>[1]Attendance!B33</f>
        <v>Mohammad Naziya</v>
      </c>
      <c r="C33" s="18" t="str">
        <f>[1]Attendance!C33</f>
        <v>H</v>
      </c>
      <c r="D33" s="18" t="str">
        <f>[1]Attendance!D33</f>
        <v>P</v>
      </c>
      <c r="E33" s="18" t="str">
        <f>[1]Attendance!E33</f>
        <v>P</v>
      </c>
      <c r="F33" s="18" t="str">
        <f>[1]Attendance!F33</f>
        <v>P</v>
      </c>
      <c r="G33" s="18" t="str">
        <f>[1]Attendance!G33</f>
        <v>P</v>
      </c>
      <c r="H33" s="18" t="str">
        <f>[1]Attendance!H33</f>
        <v>P</v>
      </c>
      <c r="I33" s="18" t="str">
        <f>[1]Attendance!I33</f>
        <v>P</v>
      </c>
      <c r="J33" s="18" t="str">
        <f>[1]Attendance!J33</f>
        <v>H</v>
      </c>
      <c r="K33" s="18" t="str">
        <f>[1]Attendance!K33</f>
        <v>P</v>
      </c>
      <c r="L33" s="18" t="str">
        <f>[1]Attendance!L33</f>
        <v>P</v>
      </c>
      <c r="M33" s="18" t="str">
        <f>[1]Attendance!M33</f>
        <v>P</v>
      </c>
      <c r="N33" s="18" t="str">
        <f>[1]Attendance!N33</f>
        <v>P</v>
      </c>
      <c r="O33" s="18" t="str">
        <f>[1]Attendance!O33</f>
        <v>P</v>
      </c>
      <c r="P33" s="18" t="str">
        <f>[1]Attendance!P33</f>
        <v>P</v>
      </c>
      <c r="Q33" s="18" t="str">
        <f>[1]Attendance!Q33</f>
        <v>H</v>
      </c>
      <c r="R33" s="18" t="str">
        <f>[1]Attendance!R33</f>
        <v>P</v>
      </c>
      <c r="S33" s="18" t="str">
        <f>[1]Attendance!S33</f>
        <v>P</v>
      </c>
      <c r="T33" s="18" t="str">
        <f>[1]Attendance!T33</f>
        <v>P</v>
      </c>
      <c r="U33" s="18" t="str">
        <f>[1]Attendance!U33</f>
        <v>P</v>
      </c>
      <c r="V33" s="18" t="str">
        <f>[1]Attendance!V33</f>
        <v>P</v>
      </c>
      <c r="W33" s="18" t="str">
        <f>[1]Attendance!W33</f>
        <v>P</v>
      </c>
      <c r="X33" s="18" t="str">
        <f>[1]Attendance!X33</f>
        <v>H</v>
      </c>
      <c r="Y33" s="18" t="str">
        <f>[1]Attendance!Y33</f>
        <v>P</v>
      </c>
      <c r="Z33" s="18" t="str">
        <f>[1]Attendance!Z33</f>
        <v>P</v>
      </c>
      <c r="AA33" s="18" t="str">
        <f>[1]Attendance!AA33</f>
        <v>P</v>
      </c>
      <c r="AB33" s="18" t="str">
        <f>[1]Attendance!AB33</f>
        <v>P</v>
      </c>
      <c r="AC33" s="18" t="str">
        <f>[1]Attendance!AC33</f>
        <v>P</v>
      </c>
      <c r="AD33" s="18" t="str">
        <f>[1]Attendance!AD33</f>
        <v>P</v>
      </c>
      <c r="AE33" s="19">
        <f>[1]Attendance!AI33/[1]Attendance!AH33</f>
        <v>589.28571428571433</v>
      </c>
      <c r="AF33" s="19">
        <f t="shared" si="1"/>
        <v>28</v>
      </c>
      <c r="AG33" s="20">
        <v>0</v>
      </c>
      <c r="AH33" s="20">
        <v>0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f>AE33*AF33</f>
        <v>16500</v>
      </c>
      <c r="BE33" s="20">
        <f t="shared" si="2"/>
        <v>16500</v>
      </c>
    </row>
    <row r="34" spans="1:57" ht="17.100000000000001" customHeight="1" x14ac:dyDescent="0.35">
      <c r="A34" s="16">
        <v>31</v>
      </c>
      <c r="B34" s="17" t="str">
        <f>[1]Attendance!B34</f>
        <v>Mohammad Shaheen Begum</v>
      </c>
      <c r="C34" s="18" t="str">
        <f>[1]Attendance!C34</f>
        <v>H</v>
      </c>
      <c r="D34" s="18" t="str">
        <f>[1]Attendance!D34</f>
        <v>P</v>
      </c>
      <c r="E34" s="18" t="str">
        <f>[1]Attendance!E34</f>
        <v>P</v>
      </c>
      <c r="F34" s="18" t="str">
        <f>[1]Attendance!F34</f>
        <v>P</v>
      </c>
      <c r="G34" s="18" t="str">
        <f>[1]Attendance!G34</f>
        <v>P</v>
      </c>
      <c r="H34" s="18" t="str">
        <f>[1]Attendance!H34</f>
        <v>P</v>
      </c>
      <c r="I34" s="18" t="str">
        <f>[1]Attendance!I34</f>
        <v>P</v>
      </c>
      <c r="J34" s="18" t="str">
        <f>[1]Attendance!J34</f>
        <v>H</v>
      </c>
      <c r="K34" s="18" t="str">
        <f>[1]Attendance!K34</f>
        <v>P</v>
      </c>
      <c r="L34" s="18" t="str">
        <f>[1]Attendance!L34</f>
        <v>P</v>
      </c>
      <c r="M34" s="18" t="str">
        <f>[1]Attendance!M34</f>
        <v>P</v>
      </c>
      <c r="N34" s="18" t="str">
        <f>[1]Attendance!N34</f>
        <v>P</v>
      </c>
      <c r="O34" s="18" t="str">
        <f>[1]Attendance!O34</f>
        <v>L</v>
      </c>
      <c r="P34" s="18" t="str">
        <f>[1]Attendance!P34</f>
        <v>P</v>
      </c>
      <c r="Q34" s="18" t="str">
        <f>[1]Attendance!Q34</f>
        <v>H</v>
      </c>
      <c r="R34" s="18" t="str">
        <f>[1]Attendance!R34</f>
        <v>P</v>
      </c>
      <c r="S34" s="18" t="str">
        <f>[1]Attendance!S34</f>
        <v>L</v>
      </c>
      <c r="T34" s="18" t="str">
        <f>[1]Attendance!T34</f>
        <v>P</v>
      </c>
      <c r="U34" s="18" t="str">
        <f>[1]Attendance!U34</f>
        <v>L</v>
      </c>
      <c r="V34" s="18" t="str">
        <f>[1]Attendance!V34</f>
        <v>P</v>
      </c>
      <c r="W34" s="18" t="str">
        <f>[1]Attendance!W34</f>
        <v>L</v>
      </c>
      <c r="X34" s="18" t="str">
        <f>[1]Attendance!X34</f>
        <v>H</v>
      </c>
      <c r="Y34" s="18" t="str">
        <f>[1]Attendance!Y34</f>
        <v>L</v>
      </c>
      <c r="Z34" s="18" t="str">
        <f>[1]Attendance!Z34</f>
        <v>P</v>
      </c>
      <c r="AA34" s="18" t="str">
        <f>[1]Attendance!AA34</f>
        <v>P</v>
      </c>
      <c r="AB34" s="18" t="str">
        <f>[1]Attendance!AB34</f>
        <v>P</v>
      </c>
      <c r="AC34" s="18" t="str">
        <f>[1]Attendance!AC34</f>
        <v>L</v>
      </c>
      <c r="AD34" s="18" t="str">
        <f>[1]Attendance!AD34</f>
        <v>P</v>
      </c>
      <c r="AE34" s="19">
        <f>[1]Attendance!AI34/[1]Attendance!AH34</f>
        <v>589.27272727272725</v>
      </c>
      <c r="AF34" s="19">
        <f t="shared" si="1"/>
        <v>22</v>
      </c>
      <c r="AG34" s="20">
        <v>0</v>
      </c>
      <c r="AH34" s="20">
        <v>0</v>
      </c>
      <c r="AI34" s="20">
        <v>0</v>
      </c>
      <c r="AJ34" s="20">
        <f>AE34*AF34</f>
        <v>12964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f t="shared" si="2"/>
        <v>12964</v>
      </c>
    </row>
    <row r="35" spans="1:57" ht="17.100000000000001" customHeight="1" x14ac:dyDescent="0.35">
      <c r="A35" s="21">
        <v>32</v>
      </c>
      <c r="B35" s="17" t="str">
        <f>[1]Attendance!B35</f>
        <v>Mohammed Yaqoob khan</v>
      </c>
      <c r="C35" s="18" t="str">
        <f>[1]Attendance!C35</f>
        <v>H</v>
      </c>
      <c r="D35" s="18" t="str">
        <f>[1]Attendance!D35</f>
        <v>P</v>
      </c>
      <c r="E35" s="18" t="str">
        <f>[1]Attendance!E35</f>
        <v>P</v>
      </c>
      <c r="F35" s="18" t="str">
        <f>[1]Attendance!F35</f>
        <v>P</v>
      </c>
      <c r="G35" s="18" t="str">
        <f>[1]Attendance!G35</f>
        <v>P</v>
      </c>
      <c r="H35" s="18" t="str">
        <f>[1]Attendance!H35</f>
        <v>L</v>
      </c>
      <c r="I35" s="18" t="str">
        <f>[1]Attendance!I35</f>
        <v>L</v>
      </c>
      <c r="J35" s="18" t="str">
        <f>[1]Attendance!J35</f>
        <v>H</v>
      </c>
      <c r="K35" s="18" t="str">
        <f>[1]Attendance!K35</f>
        <v>L</v>
      </c>
      <c r="L35" s="18" t="str">
        <f>[1]Attendance!L35</f>
        <v>P</v>
      </c>
      <c r="M35" s="18" t="str">
        <f>[1]Attendance!M35</f>
        <v>P</v>
      </c>
      <c r="N35" s="18" t="str">
        <f>[1]Attendance!N35</f>
        <v>P</v>
      </c>
      <c r="O35" s="18" t="str">
        <f>[1]Attendance!O35</f>
        <v>P</v>
      </c>
      <c r="P35" s="18" t="str">
        <f>[1]Attendance!P35</f>
        <v>P</v>
      </c>
      <c r="Q35" s="18" t="str">
        <f>[1]Attendance!Q35</f>
        <v>H</v>
      </c>
      <c r="R35" s="18" t="str">
        <f>[1]Attendance!R35</f>
        <v>P</v>
      </c>
      <c r="S35" s="18" t="str">
        <f>[1]Attendance!S35</f>
        <v>P</v>
      </c>
      <c r="T35" s="18" t="str">
        <f>[1]Attendance!T35</f>
        <v>P</v>
      </c>
      <c r="U35" s="18" t="str">
        <f>[1]Attendance!U35</f>
        <v>P</v>
      </c>
      <c r="V35" s="18" t="str">
        <f>[1]Attendance!V35</f>
        <v>P</v>
      </c>
      <c r="W35" s="18" t="str">
        <f>[1]Attendance!W35</f>
        <v>P</v>
      </c>
      <c r="X35" s="18" t="str">
        <f>[1]Attendance!X35</f>
        <v>H</v>
      </c>
      <c r="Y35" s="18" t="str">
        <f>[1]Attendance!Y35</f>
        <v>P</v>
      </c>
      <c r="Z35" s="18" t="str">
        <f>[1]Attendance!Z35</f>
        <v>P</v>
      </c>
      <c r="AA35" s="18" t="str">
        <f>[1]Attendance!AA35</f>
        <v>P</v>
      </c>
      <c r="AB35" s="18" t="str">
        <f>[1]Attendance!AB35</f>
        <v>P</v>
      </c>
      <c r="AC35" s="18" t="str">
        <f>[1]Attendance!AC35</f>
        <v>P</v>
      </c>
      <c r="AD35" s="18" t="str">
        <f>[1]Attendance!AD35</f>
        <v>P</v>
      </c>
      <c r="AE35" s="19">
        <f>[1]Attendance!AI35/[1]Attendance!AH35</f>
        <v>589.28</v>
      </c>
      <c r="AF35" s="19">
        <f t="shared" si="1"/>
        <v>25</v>
      </c>
      <c r="AG35" s="20">
        <v>0</v>
      </c>
      <c r="AH35" s="20">
        <v>0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f>AE35*AF35</f>
        <v>14732</v>
      </c>
      <c r="BE35" s="20">
        <f t="shared" si="2"/>
        <v>14732</v>
      </c>
    </row>
    <row r="36" spans="1:57" ht="17.100000000000001" customHeight="1" x14ac:dyDescent="0.35">
      <c r="A36" s="16">
        <v>33</v>
      </c>
      <c r="B36" s="17" t="str">
        <f>[1]Attendance!B36</f>
        <v>Mudavath Balakoti</v>
      </c>
      <c r="C36" s="18" t="str">
        <f>[1]Attendance!C36</f>
        <v>H</v>
      </c>
      <c r="D36" s="18" t="str">
        <f>[1]Attendance!D36</f>
        <v>P</v>
      </c>
      <c r="E36" s="18" t="str">
        <f>[1]Attendance!E36</f>
        <v>P</v>
      </c>
      <c r="F36" s="18" t="str">
        <f>[1]Attendance!F36</f>
        <v>P</v>
      </c>
      <c r="G36" s="18" t="str">
        <f>[1]Attendance!G36</f>
        <v>P</v>
      </c>
      <c r="H36" s="18" t="str">
        <f>[1]Attendance!H36</f>
        <v>P</v>
      </c>
      <c r="I36" s="18" t="str">
        <f>[1]Attendance!I36</f>
        <v>P</v>
      </c>
      <c r="J36" s="18" t="str">
        <f>[1]Attendance!J36</f>
        <v>H</v>
      </c>
      <c r="K36" s="18" t="str">
        <f>[1]Attendance!K36</f>
        <v>P</v>
      </c>
      <c r="L36" s="18" t="str">
        <f>[1]Attendance!L36</f>
        <v>P</v>
      </c>
      <c r="M36" s="18" t="str">
        <f>[1]Attendance!M36</f>
        <v>P</v>
      </c>
      <c r="N36" s="18" t="str">
        <f>[1]Attendance!N36</f>
        <v>P</v>
      </c>
      <c r="O36" s="18" t="str">
        <f>[1]Attendance!O36</f>
        <v>P</v>
      </c>
      <c r="P36" s="18" t="str">
        <f>[1]Attendance!P36</f>
        <v>P</v>
      </c>
      <c r="Q36" s="18" t="str">
        <f>[1]Attendance!Q36</f>
        <v>H</v>
      </c>
      <c r="R36" s="18" t="str">
        <f>[1]Attendance!R36</f>
        <v>L</v>
      </c>
      <c r="S36" s="18" t="str">
        <f>[1]Attendance!S36</f>
        <v>P</v>
      </c>
      <c r="T36" s="18" t="str">
        <f>[1]Attendance!T36</f>
        <v>P</v>
      </c>
      <c r="U36" s="18" t="str">
        <f>[1]Attendance!U36</f>
        <v>L</v>
      </c>
      <c r="V36" s="18" t="str">
        <f>[1]Attendance!V36</f>
        <v>P</v>
      </c>
      <c r="W36" s="18" t="str">
        <f>[1]Attendance!W36</f>
        <v>L</v>
      </c>
      <c r="X36" s="18" t="str">
        <f>[1]Attendance!X36</f>
        <v>H</v>
      </c>
      <c r="Y36" s="18" t="str">
        <f>[1]Attendance!Y36</f>
        <v>L</v>
      </c>
      <c r="Z36" s="18" t="str">
        <f>[1]Attendance!Z36</f>
        <v>P</v>
      </c>
      <c r="AA36" s="18" t="str">
        <f>[1]Attendance!AA36</f>
        <v>P</v>
      </c>
      <c r="AB36" s="18" t="str">
        <f>[1]Attendance!AB36</f>
        <v>P</v>
      </c>
      <c r="AC36" s="18" t="str">
        <f>[1]Attendance!AC36</f>
        <v>P</v>
      </c>
      <c r="AD36" s="18" t="str">
        <f>[1]Attendance!AD36</f>
        <v>P</v>
      </c>
      <c r="AE36" s="19">
        <f>[1]Attendance!AI36/[1]Attendance!AH36</f>
        <v>589.29166666666663</v>
      </c>
      <c r="AF36" s="19">
        <f t="shared" si="1"/>
        <v>24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f>AE36*AF36</f>
        <v>14143</v>
      </c>
      <c r="BE36" s="20">
        <f t="shared" si="2"/>
        <v>14143</v>
      </c>
    </row>
    <row r="37" spans="1:57" ht="17.100000000000001" customHeight="1" x14ac:dyDescent="0.35">
      <c r="A37" s="21">
        <v>34</v>
      </c>
      <c r="B37" s="17" t="str">
        <f>[1]Attendance!B37</f>
        <v>Mudavath Kiran</v>
      </c>
      <c r="C37" s="18" t="str">
        <f>[1]Attendance!C37</f>
        <v>H</v>
      </c>
      <c r="D37" s="18" t="str">
        <f>[1]Attendance!D37</f>
        <v>P</v>
      </c>
      <c r="E37" s="18" t="str">
        <f>[1]Attendance!E37</f>
        <v>P</v>
      </c>
      <c r="F37" s="18" t="str">
        <f>[1]Attendance!F37</f>
        <v>P</v>
      </c>
      <c r="G37" s="18" t="str">
        <f>[1]Attendance!G37</f>
        <v>P</v>
      </c>
      <c r="H37" s="18" t="str">
        <f>[1]Attendance!H37</f>
        <v>P</v>
      </c>
      <c r="I37" s="18" t="str">
        <f>[1]Attendance!I37</f>
        <v>P</v>
      </c>
      <c r="J37" s="18" t="str">
        <f>[1]Attendance!J37</f>
        <v>H</v>
      </c>
      <c r="K37" s="18" t="str">
        <f>[1]Attendance!K37</f>
        <v>P</v>
      </c>
      <c r="L37" s="18" t="str">
        <f>[1]Attendance!L37</f>
        <v>P</v>
      </c>
      <c r="M37" s="18" t="str">
        <f>[1]Attendance!M37</f>
        <v>P</v>
      </c>
      <c r="N37" s="18" t="str">
        <f>[1]Attendance!N37</f>
        <v>P</v>
      </c>
      <c r="O37" s="18" t="str">
        <f>[1]Attendance!O37</f>
        <v>P</v>
      </c>
      <c r="P37" s="18" t="str">
        <f>[1]Attendance!P37</f>
        <v>P</v>
      </c>
      <c r="Q37" s="18" t="str">
        <f>[1]Attendance!Q37</f>
        <v>H</v>
      </c>
      <c r="R37" s="18" t="str">
        <f>[1]Attendance!R37</f>
        <v>P</v>
      </c>
      <c r="S37" s="18" t="str">
        <f>[1]Attendance!S37</f>
        <v>L</v>
      </c>
      <c r="T37" s="18" t="str">
        <f>[1]Attendance!T37</f>
        <v>P</v>
      </c>
      <c r="U37" s="18" t="str">
        <f>[1]Attendance!U37</f>
        <v>P</v>
      </c>
      <c r="V37" s="18" t="str">
        <f>[1]Attendance!V37</f>
        <v>P</v>
      </c>
      <c r="W37" s="18" t="str">
        <f>[1]Attendance!W37</f>
        <v>P</v>
      </c>
      <c r="X37" s="18" t="str">
        <f>[1]Attendance!X37</f>
        <v>H</v>
      </c>
      <c r="Y37" s="18" t="str">
        <f>[1]Attendance!Y37</f>
        <v>P</v>
      </c>
      <c r="Z37" s="18" t="str">
        <f>[1]Attendance!Z37</f>
        <v>P</v>
      </c>
      <c r="AA37" s="18" t="str">
        <f>[1]Attendance!AA37</f>
        <v>P</v>
      </c>
      <c r="AB37" s="18" t="str">
        <f>[1]Attendance!AB37</f>
        <v>P</v>
      </c>
      <c r="AC37" s="18" t="str">
        <f>[1]Attendance!AC37</f>
        <v>P</v>
      </c>
      <c r="AD37" s="18" t="str">
        <f>[1]Attendance!AD37</f>
        <v>P</v>
      </c>
      <c r="AE37" s="19">
        <f>[1]Attendance!AI37/[1]Attendance!AH37</f>
        <v>589.2962962962963</v>
      </c>
      <c r="AF37" s="19">
        <f t="shared" si="1"/>
        <v>27</v>
      </c>
      <c r="AG37" s="20">
        <v>0</v>
      </c>
      <c r="AH37" s="20">
        <v>0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f>AE37*14</f>
        <v>8250.1481481481478</v>
      </c>
      <c r="AR37" s="20">
        <v>0</v>
      </c>
      <c r="AS37" s="20">
        <f>AE37*13</f>
        <v>7660.8518518518522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f t="shared" si="2"/>
        <v>15911</v>
      </c>
    </row>
    <row r="38" spans="1:57" ht="17.100000000000001" customHeight="1" x14ac:dyDescent="0.35">
      <c r="A38" s="16">
        <v>35</v>
      </c>
      <c r="B38" s="17" t="str">
        <f>[1]Attendance!B38</f>
        <v>Mudavath Ramesh</v>
      </c>
      <c r="C38" s="18" t="str">
        <f>[1]Attendance!C38</f>
        <v>H</v>
      </c>
      <c r="D38" s="18" t="str">
        <f>[1]Attendance!D38</f>
        <v>P</v>
      </c>
      <c r="E38" s="18" t="str">
        <f>[1]Attendance!E38</f>
        <v>P</v>
      </c>
      <c r="F38" s="18" t="str">
        <f>[1]Attendance!F38</f>
        <v>P</v>
      </c>
      <c r="G38" s="18" t="str">
        <f>[1]Attendance!G38</f>
        <v>P</v>
      </c>
      <c r="H38" s="18" t="str">
        <f>[1]Attendance!H38</f>
        <v>P</v>
      </c>
      <c r="I38" s="18" t="str">
        <f>[1]Attendance!I38</f>
        <v>P</v>
      </c>
      <c r="J38" s="18" t="str">
        <f>[1]Attendance!J38</f>
        <v>H</v>
      </c>
      <c r="K38" s="18" t="str">
        <f>[1]Attendance!K38</f>
        <v>P</v>
      </c>
      <c r="L38" s="18" t="str">
        <f>[1]Attendance!L38</f>
        <v>P</v>
      </c>
      <c r="M38" s="18" t="str">
        <f>[1]Attendance!M38</f>
        <v>P</v>
      </c>
      <c r="N38" s="18" t="str">
        <f>[1]Attendance!N38</f>
        <v>P</v>
      </c>
      <c r="O38" s="18" t="str">
        <f>[1]Attendance!O38</f>
        <v>L</v>
      </c>
      <c r="P38" s="18" t="str">
        <f>[1]Attendance!P38</f>
        <v>L</v>
      </c>
      <c r="Q38" s="18" t="str">
        <f>[1]Attendance!Q38</f>
        <v>H</v>
      </c>
      <c r="R38" s="18" t="str">
        <f>[1]Attendance!R38</f>
        <v>L</v>
      </c>
      <c r="S38" s="18" t="str">
        <f>[1]Attendance!S38</f>
        <v>P</v>
      </c>
      <c r="T38" s="18" t="str">
        <f>[1]Attendance!T38</f>
        <v>P</v>
      </c>
      <c r="U38" s="18" t="str">
        <f>[1]Attendance!U38</f>
        <v>P</v>
      </c>
      <c r="V38" s="18" t="str">
        <f>[1]Attendance!V38</f>
        <v>P</v>
      </c>
      <c r="W38" s="18" t="str">
        <f>[1]Attendance!W38</f>
        <v>P</v>
      </c>
      <c r="X38" s="18" t="str">
        <f>[1]Attendance!X38</f>
        <v>H</v>
      </c>
      <c r="Y38" s="18" t="str">
        <f>[1]Attendance!Y38</f>
        <v>P</v>
      </c>
      <c r="Z38" s="18" t="str">
        <f>[1]Attendance!Z38</f>
        <v>P</v>
      </c>
      <c r="AA38" s="18" t="str">
        <f>[1]Attendance!AA38</f>
        <v>P</v>
      </c>
      <c r="AB38" s="18" t="str">
        <f>[1]Attendance!AB38</f>
        <v>P</v>
      </c>
      <c r="AC38" s="18" t="str">
        <f>[1]Attendance!AC38</f>
        <v>P</v>
      </c>
      <c r="AD38" s="18" t="str">
        <f>[1]Attendance!AD38</f>
        <v>P</v>
      </c>
      <c r="AE38" s="19">
        <f>[1]Attendance!AI38/[1]Attendance!AH38</f>
        <v>589.28</v>
      </c>
      <c r="AF38" s="19">
        <f t="shared" si="1"/>
        <v>25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f t="shared" ref="BD38:BD45" si="3">AE38*AF38</f>
        <v>14732</v>
      </c>
      <c r="BE38" s="20">
        <f t="shared" si="2"/>
        <v>14732</v>
      </c>
    </row>
    <row r="39" spans="1:57" ht="17.100000000000001" customHeight="1" x14ac:dyDescent="0.35">
      <c r="A39" s="21">
        <v>36</v>
      </c>
      <c r="B39" s="17" t="str">
        <f>[1]Attendance!B39</f>
        <v>Neeli Srivani</v>
      </c>
      <c r="C39" s="18" t="str">
        <f>[1]Attendance!C39</f>
        <v>H</v>
      </c>
      <c r="D39" s="18" t="str">
        <f>[1]Attendance!D39</f>
        <v>P</v>
      </c>
      <c r="E39" s="18" t="str">
        <f>[1]Attendance!E39</f>
        <v>P</v>
      </c>
      <c r="F39" s="18" t="str">
        <f>[1]Attendance!F39</f>
        <v>P</v>
      </c>
      <c r="G39" s="18" t="str">
        <f>[1]Attendance!G39</f>
        <v>P</v>
      </c>
      <c r="H39" s="18" t="str">
        <f>[1]Attendance!H39</f>
        <v>P</v>
      </c>
      <c r="I39" s="18" t="str">
        <f>[1]Attendance!I39</f>
        <v>P</v>
      </c>
      <c r="J39" s="18" t="str">
        <f>[1]Attendance!J39</f>
        <v>H</v>
      </c>
      <c r="K39" s="18" t="str">
        <f>[1]Attendance!K39</f>
        <v>P</v>
      </c>
      <c r="L39" s="18" t="str">
        <f>[1]Attendance!L39</f>
        <v>P</v>
      </c>
      <c r="M39" s="18" t="str">
        <f>[1]Attendance!M39</f>
        <v>P</v>
      </c>
      <c r="N39" s="18" t="str">
        <f>[1]Attendance!N39</f>
        <v>P</v>
      </c>
      <c r="O39" s="18" t="str">
        <f>[1]Attendance!O39</f>
        <v>P</v>
      </c>
      <c r="P39" s="18" t="str">
        <f>[1]Attendance!P39</f>
        <v>P</v>
      </c>
      <c r="Q39" s="18" t="str">
        <f>[1]Attendance!Q39</f>
        <v>H</v>
      </c>
      <c r="R39" s="18" t="str">
        <f>[1]Attendance!R39</f>
        <v>L</v>
      </c>
      <c r="S39" s="18" t="str">
        <f>[1]Attendance!S39</f>
        <v>L</v>
      </c>
      <c r="T39" s="18" t="str">
        <f>[1]Attendance!T39</f>
        <v>P</v>
      </c>
      <c r="U39" s="18" t="str">
        <f>[1]Attendance!U39</f>
        <v>P</v>
      </c>
      <c r="V39" s="18" t="str">
        <f>[1]Attendance!V39</f>
        <v>P</v>
      </c>
      <c r="W39" s="18" t="str">
        <f>[1]Attendance!W39</f>
        <v>P</v>
      </c>
      <c r="X39" s="18" t="str">
        <f>[1]Attendance!X39</f>
        <v>H</v>
      </c>
      <c r="Y39" s="18" t="str">
        <f>[1]Attendance!Y39</f>
        <v>P</v>
      </c>
      <c r="Z39" s="18" t="str">
        <f>[1]Attendance!Z39</f>
        <v>P</v>
      </c>
      <c r="AA39" s="18" t="str">
        <f>[1]Attendance!AA39</f>
        <v>P</v>
      </c>
      <c r="AB39" s="18" t="str">
        <f>[1]Attendance!AB39</f>
        <v>P</v>
      </c>
      <c r="AC39" s="18" t="str">
        <f>[1]Attendance!AC39</f>
        <v>P</v>
      </c>
      <c r="AD39" s="18" t="str">
        <f>[1]Attendance!AD39</f>
        <v>P</v>
      </c>
      <c r="AE39" s="19">
        <f>[1]Attendance!AI39/[1]Attendance!AH39</f>
        <v>589.26923076923072</v>
      </c>
      <c r="AF39" s="19">
        <f t="shared" si="1"/>
        <v>26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f t="shared" si="3"/>
        <v>15320.999999999998</v>
      </c>
      <c r="BE39" s="20">
        <f t="shared" si="2"/>
        <v>15321</v>
      </c>
    </row>
    <row r="40" spans="1:57" ht="17.100000000000001" customHeight="1" x14ac:dyDescent="0.35">
      <c r="A40" s="16">
        <v>37</v>
      </c>
      <c r="B40" s="17" t="str">
        <f>[1]Attendance!B40</f>
        <v>Padira Radhika</v>
      </c>
      <c r="C40" s="18" t="str">
        <f>[1]Attendance!C40</f>
        <v>H</v>
      </c>
      <c r="D40" s="18" t="str">
        <f>[1]Attendance!D40</f>
        <v>P</v>
      </c>
      <c r="E40" s="18" t="str">
        <f>[1]Attendance!E40</f>
        <v>P</v>
      </c>
      <c r="F40" s="18" t="str">
        <f>[1]Attendance!F40</f>
        <v>P</v>
      </c>
      <c r="G40" s="18" t="str">
        <f>[1]Attendance!G40</f>
        <v>P</v>
      </c>
      <c r="H40" s="18" t="str">
        <f>[1]Attendance!H40</f>
        <v>P</v>
      </c>
      <c r="I40" s="18" t="str">
        <f>[1]Attendance!I40</f>
        <v>P</v>
      </c>
      <c r="J40" s="18" t="str">
        <f>[1]Attendance!J40</f>
        <v>H</v>
      </c>
      <c r="K40" s="18" t="str">
        <f>[1]Attendance!K40</f>
        <v>P</v>
      </c>
      <c r="L40" s="18" t="str">
        <f>[1]Attendance!L40</f>
        <v>P</v>
      </c>
      <c r="M40" s="18" t="str">
        <f>[1]Attendance!M40</f>
        <v>P</v>
      </c>
      <c r="N40" s="18" t="str">
        <f>[1]Attendance!N40</f>
        <v>P</v>
      </c>
      <c r="O40" s="18" t="str">
        <f>[1]Attendance!O40</f>
        <v>P</v>
      </c>
      <c r="P40" s="18" t="str">
        <f>[1]Attendance!P40</f>
        <v>P</v>
      </c>
      <c r="Q40" s="18" t="str">
        <f>[1]Attendance!Q40</f>
        <v>H</v>
      </c>
      <c r="R40" s="18" t="str">
        <f>[1]Attendance!R40</f>
        <v>P</v>
      </c>
      <c r="S40" s="18" t="str">
        <f>[1]Attendance!S40</f>
        <v>P</v>
      </c>
      <c r="T40" s="18" t="str">
        <f>[1]Attendance!T40</f>
        <v>P</v>
      </c>
      <c r="U40" s="18" t="str">
        <f>[1]Attendance!U40</f>
        <v>P</v>
      </c>
      <c r="V40" s="18" t="str">
        <f>[1]Attendance!V40</f>
        <v>P</v>
      </c>
      <c r="W40" s="18" t="str">
        <f>[1]Attendance!W40</f>
        <v>P</v>
      </c>
      <c r="X40" s="18" t="str">
        <f>[1]Attendance!X40</f>
        <v>H</v>
      </c>
      <c r="Y40" s="18" t="str">
        <f>[1]Attendance!Y40</f>
        <v>P</v>
      </c>
      <c r="Z40" s="18" t="str">
        <f>[1]Attendance!Z40</f>
        <v>P</v>
      </c>
      <c r="AA40" s="18" t="str">
        <f>[1]Attendance!AA40</f>
        <v>P</v>
      </c>
      <c r="AB40" s="18" t="str">
        <f>[1]Attendance!AB40</f>
        <v>P</v>
      </c>
      <c r="AC40" s="18" t="str">
        <f>[1]Attendance!AC40</f>
        <v>P</v>
      </c>
      <c r="AD40" s="18" t="str">
        <f>[1]Attendance!AD40</f>
        <v>P</v>
      </c>
      <c r="AE40" s="19">
        <f>[1]Attendance!AI40/[1]Attendance!AH40</f>
        <v>589.28571428571433</v>
      </c>
      <c r="AF40" s="19">
        <f t="shared" si="1"/>
        <v>28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f t="shared" si="3"/>
        <v>16500</v>
      </c>
      <c r="BE40" s="20">
        <f t="shared" si="2"/>
        <v>16500</v>
      </c>
    </row>
    <row r="41" spans="1:57" ht="17.100000000000001" customHeight="1" x14ac:dyDescent="0.35">
      <c r="A41" s="21">
        <v>38</v>
      </c>
      <c r="B41" s="17" t="str">
        <f>[1]Attendance!B41</f>
        <v>Pandiri Punith kumar</v>
      </c>
      <c r="C41" s="18" t="str">
        <f>[1]Attendance!C41</f>
        <v>H</v>
      </c>
      <c r="D41" s="18" t="str">
        <f>[1]Attendance!D41</f>
        <v>P</v>
      </c>
      <c r="E41" s="18" t="str">
        <f>[1]Attendance!E41</f>
        <v>P</v>
      </c>
      <c r="F41" s="18" t="str">
        <f>[1]Attendance!F41</f>
        <v>P</v>
      </c>
      <c r="G41" s="18" t="str">
        <f>[1]Attendance!G41</f>
        <v>P</v>
      </c>
      <c r="H41" s="18" t="str">
        <f>[1]Attendance!H41</f>
        <v>P</v>
      </c>
      <c r="I41" s="18" t="str">
        <f>[1]Attendance!I41</f>
        <v>P</v>
      </c>
      <c r="J41" s="18" t="str">
        <f>[1]Attendance!J41</f>
        <v>H</v>
      </c>
      <c r="K41" s="18" t="str">
        <f>[1]Attendance!K41</f>
        <v>P</v>
      </c>
      <c r="L41" s="18" t="str">
        <f>[1]Attendance!L41</f>
        <v>P</v>
      </c>
      <c r="M41" s="18" t="str">
        <f>[1]Attendance!M41</f>
        <v>P</v>
      </c>
      <c r="N41" s="18" t="str">
        <f>[1]Attendance!N41</f>
        <v>P</v>
      </c>
      <c r="O41" s="18" t="str">
        <f>[1]Attendance!O41</f>
        <v>P</v>
      </c>
      <c r="P41" s="18" t="str">
        <f>[1]Attendance!P41</f>
        <v>P</v>
      </c>
      <c r="Q41" s="18" t="str">
        <f>[1]Attendance!Q41</f>
        <v>H</v>
      </c>
      <c r="R41" s="18" t="str">
        <f>[1]Attendance!R41</f>
        <v>P</v>
      </c>
      <c r="S41" s="18" t="str">
        <f>[1]Attendance!S41</f>
        <v>P</v>
      </c>
      <c r="T41" s="18" t="str">
        <f>[1]Attendance!T41</f>
        <v>P</v>
      </c>
      <c r="U41" s="18" t="str">
        <f>[1]Attendance!U41</f>
        <v>P</v>
      </c>
      <c r="V41" s="18" t="str">
        <f>[1]Attendance!V41</f>
        <v>P</v>
      </c>
      <c r="W41" s="18" t="str">
        <f>[1]Attendance!W41</f>
        <v>P</v>
      </c>
      <c r="X41" s="18" t="str">
        <f>[1]Attendance!X41</f>
        <v>H</v>
      </c>
      <c r="Y41" s="18" t="str">
        <f>[1]Attendance!Y41</f>
        <v>P</v>
      </c>
      <c r="Z41" s="18" t="str">
        <f>[1]Attendance!Z41</f>
        <v>P</v>
      </c>
      <c r="AA41" s="18" t="str">
        <f>[1]Attendance!AA41</f>
        <v>P</v>
      </c>
      <c r="AB41" s="18" t="str">
        <f>[1]Attendance!AB41</f>
        <v>P</v>
      </c>
      <c r="AC41" s="18" t="str">
        <f>[1]Attendance!AC41</f>
        <v>P</v>
      </c>
      <c r="AD41" s="18" t="str">
        <f>[1]Attendance!AD41</f>
        <v>P</v>
      </c>
      <c r="AE41" s="19">
        <f>[1]Attendance!AI41/[1]Attendance!AH41</f>
        <v>589.28571428571433</v>
      </c>
      <c r="AF41" s="19">
        <f t="shared" si="1"/>
        <v>28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f t="shared" si="3"/>
        <v>16500</v>
      </c>
      <c r="BE41" s="20">
        <f t="shared" si="2"/>
        <v>16500</v>
      </c>
    </row>
    <row r="42" spans="1:57" ht="17.100000000000001" customHeight="1" x14ac:dyDescent="0.35">
      <c r="A42" s="16">
        <v>39</v>
      </c>
      <c r="B42" s="17" t="str">
        <f>[1]Attendance!B42</f>
        <v>Poojari Ramu</v>
      </c>
      <c r="C42" s="18" t="str">
        <f>[1]Attendance!C42</f>
        <v>H</v>
      </c>
      <c r="D42" s="18" t="str">
        <f>[1]Attendance!D42</f>
        <v>L</v>
      </c>
      <c r="E42" s="18" t="str">
        <f>[1]Attendance!E42</f>
        <v>P</v>
      </c>
      <c r="F42" s="18" t="str">
        <f>[1]Attendance!F42</f>
        <v>P</v>
      </c>
      <c r="G42" s="18" t="str">
        <f>[1]Attendance!G42</f>
        <v>P</v>
      </c>
      <c r="H42" s="18" t="str">
        <f>[1]Attendance!H42</f>
        <v>P</v>
      </c>
      <c r="I42" s="18" t="str">
        <f>[1]Attendance!I42</f>
        <v>P</v>
      </c>
      <c r="J42" s="18" t="str">
        <f>[1]Attendance!J42</f>
        <v>H</v>
      </c>
      <c r="K42" s="18" t="str">
        <f>[1]Attendance!K42</f>
        <v>L</v>
      </c>
      <c r="L42" s="18" t="str">
        <f>[1]Attendance!L42</f>
        <v>P</v>
      </c>
      <c r="M42" s="18" t="str">
        <f>[1]Attendance!M42</f>
        <v>P</v>
      </c>
      <c r="N42" s="18" t="str">
        <f>[1]Attendance!N42</f>
        <v>P</v>
      </c>
      <c r="O42" s="18" t="str">
        <f>[1]Attendance!O42</f>
        <v>P</v>
      </c>
      <c r="P42" s="18" t="str">
        <f>[1]Attendance!P42</f>
        <v>P</v>
      </c>
      <c r="Q42" s="18" t="str">
        <f>[1]Attendance!Q42</f>
        <v>H</v>
      </c>
      <c r="R42" s="18" t="str">
        <f>[1]Attendance!R42</f>
        <v>L</v>
      </c>
      <c r="S42" s="18" t="str">
        <f>[1]Attendance!S42</f>
        <v>L</v>
      </c>
      <c r="T42" s="18" t="str">
        <f>[1]Attendance!T42</f>
        <v>P</v>
      </c>
      <c r="U42" s="18" t="str">
        <f>[1]Attendance!U42</f>
        <v>P</v>
      </c>
      <c r="V42" s="18" t="str">
        <f>[1]Attendance!V42</f>
        <v>P</v>
      </c>
      <c r="W42" s="18" t="str">
        <f>[1]Attendance!W42</f>
        <v>P</v>
      </c>
      <c r="X42" s="18" t="str">
        <f>[1]Attendance!X42</f>
        <v>H</v>
      </c>
      <c r="Y42" s="18" t="str">
        <f>[1]Attendance!Y42</f>
        <v>P</v>
      </c>
      <c r="Z42" s="18" t="str">
        <f>[1]Attendance!Z42</f>
        <v>P</v>
      </c>
      <c r="AA42" s="18" t="str">
        <f>[1]Attendance!AA42</f>
        <v>P</v>
      </c>
      <c r="AB42" s="18" t="str">
        <f>[1]Attendance!AB42</f>
        <v>P</v>
      </c>
      <c r="AC42" s="18" t="str">
        <f>[1]Attendance!AC42</f>
        <v>P</v>
      </c>
      <c r="AD42" s="18" t="str">
        <f>[1]Attendance!AD42</f>
        <v>P</v>
      </c>
      <c r="AE42" s="19">
        <f>[1]Attendance!AI42/[1]Attendance!AH42</f>
        <v>589.29166666666663</v>
      </c>
      <c r="AF42" s="19">
        <f t="shared" si="1"/>
        <v>24</v>
      </c>
      <c r="AG42" s="20">
        <v>0</v>
      </c>
      <c r="AH42" s="20">
        <v>0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f t="shared" si="3"/>
        <v>14143</v>
      </c>
      <c r="BE42" s="20">
        <f t="shared" si="2"/>
        <v>14143</v>
      </c>
    </row>
    <row r="43" spans="1:57" ht="17.100000000000001" customHeight="1" x14ac:dyDescent="0.35">
      <c r="A43" s="21">
        <v>40</v>
      </c>
      <c r="B43" s="17" t="str">
        <f>[1]Attendance!B43</f>
        <v>Porandla Chandar</v>
      </c>
      <c r="C43" s="18" t="str">
        <f>[1]Attendance!C43</f>
        <v>H</v>
      </c>
      <c r="D43" s="18" t="str">
        <f>[1]Attendance!D43</f>
        <v>P</v>
      </c>
      <c r="E43" s="18" t="str">
        <f>[1]Attendance!E43</f>
        <v>P</v>
      </c>
      <c r="F43" s="18" t="str">
        <f>[1]Attendance!F43</f>
        <v>P</v>
      </c>
      <c r="G43" s="18" t="str">
        <f>[1]Attendance!G43</f>
        <v>P</v>
      </c>
      <c r="H43" s="18" t="str">
        <f>[1]Attendance!H43</f>
        <v>P</v>
      </c>
      <c r="I43" s="18" t="str">
        <f>[1]Attendance!I43</f>
        <v>P</v>
      </c>
      <c r="J43" s="18" t="str">
        <f>[1]Attendance!J43</f>
        <v>H</v>
      </c>
      <c r="K43" s="18" t="str">
        <f>[1]Attendance!K43</f>
        <v>P</v>
      </c>
      <c r="L43" s="18" t="str">
        <f>[1]Attendance!L43</f>
        <v>P</v>
      </c>
      <c r="M43" s="18" t="str">
        <f>[1]Attendance!M43</f>
        <v>L</v>
      </c>
      <c r="N43" s="18" t="str">
        <f>[1]Attendance!N43</f>
        <v>P</v>
      </c>
      <c r="O43" s="18" t="str">
        <f>[1]Attendance!O43</f>
        <v>P</v>
      </c>
      <c r="P43" s="18" t="str">
        <f>[1]Attendance!P43</f>
        <v>P</v>
      </c>
      <c r="Q43" s="18" t="str">
        <f>[1]Attendance!Q43</f>
        <v>H</v>
      </c>
      <c r="R43" s="18" t="str">
        <f>[1]Attendance!R43</f>
        <v>P</v>
      </c>
      <c r="S43" s="18" t="str">
        <f>[1]Attendance!S43</f>
        <v>P</v>
      </c>
      <c r="T43" s="18" t="str">
        <f>[1]Attendance!T43</f>
        <v>P</v>
      </c>
      <c r="U43" s="18" t="str">
        <f>[1]Attendance!U43</f>
        <v>P</v>
      </c>
      <c r="V43" s="18" t="str">
        <f>[1]Attendance!V43</f>
        <v>P</v>
      </c>
      <c r="W43" s="18" t="str">
        <f>[1]Attendance!W43</f>
        <v>P</v>
      </c>
      <c r="X43" s="18" t="str">
        <f>[1]Attendance!X43</f>
        <v>H</v>
      </c>
      <c r="Y43" s="18" t="str">
        <f>[1]Attendance!Y43</f>
        <v>P</v>
      </c>
      <c r="Z43" s="18" t="str">
        <f>[1]Attendance!Z43</f>
        <v>P</v>
      </c>
      <c r="AA43" s="18" t="str">
        <f>[1]Attendance!AA43</f>
        <v>P</v>
      </c>
      <c r="AB43" s="18" t="str">
        <f>[1]Attendance!AB43</f>
        <v>P</v>
      </c>
      <c r="AC43" s="18" t="str">
        <f>[1]Attendance!AC43</f>
        <v>P</v>
      </c>
      <c r="AD43" s="18" t="str">
        <f>[1]Attendance!AD43</f>
        <v>P</v>
      </c>
      <c r="AE43" s="19">
        <f>[1]Attendance!AI43/[1]Attendance!AH43</f>
        <v>589.2962962962963</v>
      </c>
      <c r="AF43" s="19">
        <f t="shared" si="1"/>
        <v>27</v>
      </c>
      <c r="AG43" s="20">
        <v>0</v>
      </c>
      <c r="AH43" s="20">
        <v>0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f t="shared" si="3"/>
        <v>15911</v>
      </c>
      <c r="BE43" s="20">
        <f t="shared" si="2"/>
        <v>15911</v>
      </c>
    </row>
    <row r="44" spans="1:57" ht="17.100000000000001" customHeight="1" x14ac:dyDescent="0.35">
      <c r="A44" s="16">
        <v>41</v>
      </c>
      <c r="B44" s="17" t="str">
        <f>[1]Attendance!B44</f>
        <v>Ramavath Saimahesh Nayak</v>
      </c>
      <c r="C44" s="18" t="str">
        <f>[1]Attendance!C44</f>
        <v>H</v>
      </c>
      <c r="D44" s="18" t="str">
        <f>[1]Attendance!D44</f>
        <v>P</v>
      </c>
      <c r="E44" s="18" t="str">
        <f>[1]Attendance!E44</f>
        <v>P</v>
      </c>
      <c r="F44" s="18" t="str">
        <f>[1]Attendance!F44</f>
        <v>P</v>
      </c>
      <c r="G44" s="18" t="str">
        <f>[1]Attendance!G44</f>
        <v>P</v>
      </c>
      <c r="H44" s="18" t="str">
        <f>[1]Attendance!H44</f>
        <v>P</v>
      </c>
      <c r="I44" s="18" t="str">
        <f>[1]Attendance!I44</f>
        <v>P</v>
      </c>
      <c r="J44" s="18" t="str">
        <f>[1]Attendance!J44</f>
        <v>H</v>
      </c>
      <c r="K44" s="18" t="str">
        <f>[1]Attendance!K44</f>
        <v>L</v>
      </c>
      <c r="L44" s="18" t="str">
        <f>[1]Attendance!L44</f>
        <v>P</v>
      </c>
      <c r="M44" s="18" t="str">
        <f>[1]Attendance!M44</f>
        <v>P</v>
      </c>
      <c r="N44" s="18" t="str">
        <f>[1]Attendance!N44</f>
        <v>P</v>
      </c>
      <c r="O44" s="18" t="str">
        <f>[1]Attendance!O44</f>
        <v>P</v>
      </c>
      <c r="P44" s="18" t="str">
        <f>[1]Attendance!P44</f>
        <v>P</v>
      </c>
      <c r="Q44" s="18" t="str">
        <f>[1]Attendance!Q44</f>
        <v>H</v>
      </c>
      <c r="R44" s="18" t="str">
        <f>[1]Attendance!R44</f>
        <v>P</v>
      </c>
      <c r="S44" s="18" t="str">
        <f>[1]Attendance!S44</f>
        <v>P</v>
      </c>
      <c r="T44" s="18" t="str">
        <f>[1]Attendance!T44</f>
        <v>P</v>
      </c>
      <c r="U44" s="18" t="str">
        <f>[1]Attendance!U44</f>
        <v>P</v>
      </c>
      <c r="V44" s="18" t="str">
        <f>[1]Attendance!V44</f>
        <v>P</v>
      </c>
      <c r="W44" s="18" t="str">
        <f>[1]Attendance!W44</f>
        <v>P</v>
      </c>
      <c r="X44" s="18" t="str">
        <f>[1]Attendance!X44</f>
        <v>H</v>
      </c>
      <c r="Y44" s="18" t="str">
        <f>[1]Attendance!Y44</f>
        <v>P</v>
      </c>
      <c r="Z44" s="18" t="str">
        <f>[1]Attendance!Z44</f>
        <v>P</v>
      </c>
      <c r="AA44" s="18" t="str">
        <f>[1]Attendance!AA44</f>
        <v>P</v>
      </c>
      <c r="AB44" s="18" t="str">
        <f>[1]Attendance!AB44</f>
        <v>P</v>
      </c>
      <c r="AC44" s="18" t="str">
        <f>[1]Attendance!AC44</f>
        <v>P</v>
      </c>
      <c r="AD44" s="18" t="str">
        <f>[1]Attendance!AD44</f>
        <v>P</v>
      </c>
      <c r="AE44" s="19">
        <f>[1]Attendance!AI44/[1]Attendance!AH44</f>
        <v>589.2962962962963</v>
      </c>
      <c r="AF44" s="19">
        <f t="shared" si="1"/>
        <v>27</v>
      </c>
      <c r="AG44" s="20">
        <v>0</v>
      </c>
      <c r="AH44" s="20">
        <v>0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f t="shared" si="3"/>
        <v>15911</v>
      </c>
      <c r="BE44" s="20">
        <f t="shared" si="2"/>
        <v>15911</v>
      </c>
    </row>
    <row r="45" spans="1:57" ht="17.100000000000001" customHeight="1" x14ac:dyDescent="0.35">
      <c r="A45" s="16">
        <v>42</v>
      </c>
      <c r="B45" s="17" t="str">
        <f>[1]Attendance!B45</f>
        <v>Ramavath Uma Mahesh</v>
      </c>
      <c r="C45" s="18" t="str">
        <f>[1]Attendance!C45</f>
        <v>H</v>
      </c>
      <c r="D45" s="18" t="str">
        <f>[1]Attendance!D45</f>
        <v>P</v>
      </c>
      <c r="E45" s="18" t="str">
        <f>[1]Attendance!E45</f>
        <v>P</v>
      </c>
      <c r="F45" s="18" t="str">
        <f>[1]Attendance!F45</f>
        <v>P</v>
      </c>
      <c r="G45" s="18" t="str">
        <f>[1]Attendance!G45</f>
        <v>P</v>
      </c>
      <c r="H45" s="18" t="str">
        <f>[1]Attendance!H45</f>
        <v>P</v>
      </c>
      <c r="I45" s="18" t="str">
        <f>[1]Attendance!I45</f>
        <v>P</v>
      </c>
      <c r="J45" s="18" t="str">
        <f>[1]Attendance!J45</f>
        <v>H</v>
      </c>
      <c r="K45" s="18" t="str">
        <f>[1]Attendance!K45</f>
        <v>P</v>
      </c>
      <c r="L45" s="18" t="str">
        <f>[1]Attendance!L45</f>
        <v>P</v>
      </c>
      <c r="M45" s="18" t="str">
        <f>[1]Attendance!M45</f>
        <v>P</v>
      </c>
      <c r="N45" s="18" t="str">
        <f>[1]Attendance!N45</f>
        <v>P</v>
      </c>
      <c r="O45" s="18" t="str">
        <f>[1]Attendance!O45</f>
        <v>P</v>
      </c>
      <c r="P45" s="18" t="str">
        <f>[1]Attendance!P45</f>
        <v>P</v>
      </c>
      <c r="Q45" s="18" t="str">
        <f>[1]Attendance!Q45</f>
        <v>H</v>
      </c>
      <c r="R45" s="18" t="str">
        <f>[1]Attendance!R45</f>
        <v>P</v>
      </c>
      <c r="S45" s="18" t="str">
        <f>[1]Attendance!S45</f>
        <v>P</v>
      </c>
      <c r="T45" s="18" t="str">
        <f>[1]Attendance!T45</f>
        <v>P</v>
      </c>
      <c r="U45" s="18" t="str">
        <f>[1]Attendance!U45</f>
        <v>P</v>
      </c>
      <c r="V45" s="18" t="str">
        <f>[1]Attendance!V45</f>
        <v>P</v>
      </c>
      <c r="W45" s="18" t="str">
        <f>[1]Attendance!W45</f>
        <v>P</v>
      </c>
      <c r="X45" s="18" t="str">
        <f>[1]Attendance!X45</f>
        <v>H</v>
      </c>
      <c r="Y45" s="18" t="str">
        <f>[1]Attendance!Y45</f>
        <v>P</v>
      </c>
      <c r="Z45" s="18" t="str">
        <f>[1]Attendance!Z45</f>
        <v>P</v>
      </c>
      <c r="AA45" s="18" t="str">
        <f>[1]Attendance!AA45</f>
        <v>P</v>
      </c>
      <c r="AB45" s="18" t="str">
        <f>[1]Attendance!AB45</f>
        <v>P</v>
      </c>
      <c r="AC45" s="18" t="str">
        <f>[1]Attendance!AC45</f>
        <v>P</v>
      </c>
      <c r="AD45" s="18" t="str">
        <f>[1]Attendance!AD45</f>
        <v>P</v>
      </c>
      <c r="AE45" s="19">
        <f>[1]Attendance!AI45/[1]Attendance!AH45</f>
        <v>589.28571428571433</v>
      </c>
      <c r="AF45" s="19">
        <f t="shared" si="1"/>
        <v>28</v>
      </c>
      <c r="AG45" s="20">
        <v>0</v>
      </c>
      <c r="AH45" s="20">
        <v>0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f t="shared" si="3"/>
        <v>16500</v>
      </c>
      <c r="BE45" s="20">
        <f t="shared" si="2"/>
        <v>16500</v>
      </c>
    </row>
    <row r="46" spans="1:57" ht="17.100000000000001" customHeight="1" x14ac:dyDescent="0.35">
      <c r="A46" s="16">
        <v>43</v>
      </c>
      <c r="B46" s="17" t="str">
        <f>[1]Attendance!B46</f>
        <v>Ranabotu Saidi Reddy</v>
      </c>
      <c r="C46" s="18" t="str">
        <f>[1]Attendance!C46</f>
        <v>H</v>
      </c>
      <c r="D46" s="18" t="str">
        <f>[1]Attendance!D46</f>
        <v>P</v>
      </c>
      <c r="E46" s="18" t="str">
        <f>[1]Attendance!E46</f>
        <v>P</v>
      </c>
      <c r="F46" s="18" t="str">
        <f>[1]Attendance!F46</f>
        <v>P</v>
      </c>
      <c r="G46" s="18" t="str">
        <f>[1]Attendance!G46</f>
        <v>L</v>
      </c>
      <c r="H46" s="18" t="str">
        <f>[1]Attendance!H46</f>
        <v>L</v>
      </c>
      <c r="I46" s="18" t="str">
        <f>[1]Attendance!I46</f>
        <v>L</v>
      </c>
      <c r="J46" s="18" t="str">
        <f>[1]Attendance!J46</f>
        <v>H</v>
      </c>
      <c r="K46" s="18" t="str">
        <f>[1]Attendance!K46</f>
        <v>L</v>
      </c>
      <c r="L46" s="18" t="str">
        <f>[1]Attendance!L46</f>
        <v>P</v>
      </c>
      <c r="M46" s="18" t="str">
        <f>[1]Attendance!M46</f>
        <v>P</v>
      </c>
      <c r="N46" s="18" t="str">
        <f>[1]Attendance!N46</f>
        <v>P</v>
      </c>
      <c r="O46" s="18" t="str">
        <f>[1]Attendance!O46</f>
        <v>P</v>
      </c>
      <c r="P46" s="18" t="str">
        <f>[1]Attendance!P46</f>
        <v>P</v>
      </c>
      <c r="Q46" s="18" t="str">
        <f>[1]Attendance!Q46</f>
        <v>H</v>
      </c>
      <c r="R46" s="18" t="str">
        <f>[1]Attendance!R46</f>
        <v>P</v>
      </c>
      <c r="S46" s="18" t="str">
        <f>[1]Attendance!S46</f>
        <v>P</v>
      </c>
      <c r="T46" s="18" t="str">
        <f>[1]Attendance!T46</f>
        <v>P</v>
      </c>
      <c r="U46" s="18" t="str">
        <f>[1]Attendance!U46</f>
        <v>P</v>
      </c>
      <c r="V46" s="18" t="str">
        <f>[1]Attendance!V46</f>
        <v>P</v>
      </c>
      <c r="W46" s="18" t="str">
        <f>[1]Attendance!W46</f>
        <v>P</v>
      </c>
      <c r="X46" s="18" t="str">
        <f>[1]Attendance!X46</f>
        <v>H</v>
      </c>
      <c r="Y46" s="18" t="str">
        <f>[1]Attendance!Y46</f>
        <v>P</v>
      </c>
      <c r="Z46" s="18" t="str">
        <f>[1]Attendance!Z46</f>
        <v>P</v>
      </c>
      <c r="AA46" s="18" t="str">
        <f>[1]Attendance!AA46</f>
        <v>P</v>
      </c>
      <c r="AB46" s="18" t="str">
        <f>[1]Attendance!AB46</f>
        <v>P</v>
      </c>
      <c r="AC46" s="18" t="str">
        <f>[1]Attendance!AC46</f>
        <v>P</v>
      </c>
      <c r="AD46" s="18" t="str">
        <f>[1]Attendance!AD46</f>
        <v>P</v>
      </c>
      <c r="AE46" s="19">
        <f>[1]Attendance!AI46/[1]Attendance!AH46</f>
        <v>589.29166666666663</v>
      </c>
      <c r="AF46" s="19">
        <f t="shared" si="1"/>
        <v>24</v>
      </c>
      <c r="AG46" s="20">
        <f>AE46*19</f>
        <v>11196.541666666666</v>
      </c>
      <c r="AH46" s="20">
        <v>0</v>
      </c>
      <c r="AI46" s="20">
        <v>0</v>
      </c>
      <c r="AJ46" s="20">
        <v>0</v>
      </c>
      <c r="AK46" s="20">
        <v>0</v>
      </c>
      <c r="AL46" s="20">
        <f>AE46*5</f>
        <v>2946.458333333333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f t="shared" si="2"/>
        <v>14143</v>
      </c>
    </row>
    <row r="47" spans="1:57" ht="17.100000000000001" customHeight="1" x14ac:dyDescent="0.35">
      <c r="A47" s="16">
        <v>44</v>
      </c>
      <c r="B47" s="17" t="str">
        <f>[1]Attendance!B47</f>
        <v>Sadde Sindhura</v>
      </c>
      <c r="C47" s="18" t="str">
        <f>[1]Attendance!C47</f>
        <v>H</v>
      </c>
      <c r="D47" s="18" t="str">
        <f>[1]Attendance!D47</f>
        <v>P</v>
      </c>
      <c r="E47" s="18" t="str">
        <f>[1]Attendance!E47</f>
        <v>L</v>
      </c>
      <c r="F47" s="18" t="str">
        <f>[1]Attendance!F47</f>
        <v>P</v>
      </c>
      <c r="G47" s="18" t="str">
        <f>[1]Attendance!G47</f>
        <v>P</v>
      </c>
      <c r="H47" s="18" t="str">
        <f>[1]Attendance!H47</f>
        <v>P</v>
      </c>
      <c r="I47" s="18" t="str">
        <f>[1]Attendance!I47</f>
        <v>P</v>
      </c>
      <c r="J47" s="18" t="str">
        <f>[1]Attendance!J47</f>
        <v>H</v>
      </c>
      <c r="K47" s="18" t="str">
        <f>[1]Attendance!K47</f>
        <v>P</v>
      </c>
      <c r="L47" s="18" t="str">
        <f>[1]Attendance!L47</f>
        <v>P</v>
      </c>
      <c r="M47" s="18" t="str">
        <f>[1]Attendance!M47</f>
        <v>P</v>
      </c>
      <c r="N47" s="18" t="str">
        <f>[1]Attendance!N47</f>
        <v>P</v>
      </c>
      <c r="O47" s="18" t="str">
        <f>[1]Attendance!O47</f>
        <v>P</v>
      </c>
      <c r="P47" s="18" t="str">
        <f>[1]Attendance!P47</f>
        <v>P</v>
      </c>
      <c r="Q47" s="18" t="str">
        <f>[1]Attendance!Q47</f>
        <v>H</v>
      </c>
      <c r="R47" s="18" t="str">
        <f>[1]Attendance!R47</f>
        <v>L</v>
      </c>
      <c r="S47" s="18" t="str">
        <f>[1]Attendance!S47</f>
        <v>P</v>
      </c>
      <c r="T47" s="18" t="str">
        <f>[1]Attendance!T47</f>
        <v>P</v>
      </c>
      <c r="U47" s="18" t="str">
        <f>[1]Attendance!U47</f>
        <v>P</v>
      </c>
      <c r="V47" s="18" t="str">
        <f>[1]Attendance!V47</f>
        <v>P</v>
      </c>
      <c r="W47" s="18" t="str">
        <f>[1]Attendance!W47</f>
        <v>P</v>
      </c>
      <c r="X47" s="18" t="str">
        <f>[1]Attendance!X47</f>
        <v>H</v>
      </c>
      <c r="Y47" s="18" t="str">
        <f>[1]Attendance!Y47</f>
        <v>P</v>
      </c>
      <c r="Z47" s="18" t="str">
        <f>[1]Attendance!Z47</f>
        <v>P</v>
      </c>
      <c r="AA47" s="18" t="str">
        <f>[1]Attendance!AA47</f>
        <v>P</v>
      </c>
      <c r="AB47" s="18" t="str">
        <f>[1]Attendance!AB47</f>
        <v>P</v>
      </c>
      <c r="AC47" s="18" t="str">
        <f>[1]Attendance!AC47</f>
        <v>P</v>
      </c>
      <c r="AD47" s="18" t="str">
        <f>[1]Attendance!AD47</f>
        <v>P</v>
      </c>
      <c r="AE47" s="19">
        <f>[1]Attendance!AI47/[1]Attendance!AH47</f>
        <v>589.26923076923072</v>
      </c>
      <c r="AF47" s="19">
        <f t="shared" si="1"/>
        <v>26</v>
      </c>
      <c r="AG47" s="20">
        <v>0</v>
      </c>
      <c r="AH47" s="20">
        <v>0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f t="shared" ref="BD47:BD52" si="4">AE47*AF47</f>
        <v>15320.999999999998</v>
      </c>
      <c r="BE47" s="20">
        <f t="shared" si="2"/>
        <v>15321</v>
      </c>
    </row>
    <row r="48" spans="1:57" ht="17.100000000000001" customHeight="1" x14ac:dyDescent="0.35">
      <c r="A48" s="16">
        <v>45</v>
      </c>
      <c r="B48" s="17" t="str">
        <f>[1]Attendance!B48</f>
        <v>Shaikh abdul Avesh</v>
      </c>
      <c r="C48" s="18" t="str">
        <f>[1]Attendance!C48</f>
        <v>H</v>
      </c>
      <c r="D48" s="18" t="str">
        <f>[1]Attendance!D48</f>
        <v>P</v>
      </c>
      <c r="E48" s="18" t="str">
        <f>[1]Attendance!E48</f>
        <v>P</v>
      </c>
      <c r="F48" s="18" t="str">
        <f>[1]Attendance!F48</f>
        <v>P</v>
      </c>
      <c r="G48" s="18" t="str">
        <f>[1]Attendance!G48</f>
        <v>P</v>
      </c>
      <c r="H48" s="18" t="str">
        <f>[1]Attendance!H48</f>
        <v>P</v>
      </c>
      <c r="I48" s="18" t="str">
        <f>[1]Attendance!I48</f>
        <v>P</v>
      </c>
      <c r="J48" s="18" t="str">
        <f>[1]Attendance!J48</f>
        <v>H</v>
      </c>
      <c r="K48" s="18" t="str">
        <f>[1]Attendance!K48</f>
        <v>P</v>
      </c>
      <c r="L48" s="18" t="str">
        <f>[1]Attendance!L48</f>
        <v>P</v>
      </c>
      <c r="M48" s="18" t="str">
        <f>[1]Attendance!M48</f>
        <v>P</v>
      </c>
      <c r="N48" s="18" t="str">
        <f>[1]Attendance!N48</f>
        <v>P</v>
      </c>
      <c r="O48" s="18" t="str">
        <f>[1]Attendance!O48</f>
        <v>P</v>
      </c>
      <c r="P48" s="18" t="str">
        <f>[1]Attendance!P48</f>
        <v>P</v>
      </c>
      <c r="Q48" s="18" t="str">
        <f>[1]Attendance!Q48</f>
        <v>H</v>
      </c>
      <c r="R48" s="18" t="str">
        <f>[1]Attendance!R48</f>
        <v>P</v>
      </c>
      <c r="S48" s="18" t="str">
        <f>[1]Attendance!S48</f>
        <v>P</v>
      </c>
      <c r="T48" s="18" t="str">
        <f>[1]Attendance!T48</f>
        <v>P</v>
      </c>
      <c r="U48" s="18" t="str">
        <f>[1]Attendance!U48</f>
        <v>P</v>
      </c>
      <c r="V48" s="18" t="str">
        <f>[1]Attendance!V48</f>
        <v>P</v>
      </c>
      <c r="W48" s="18" t="str">
        <f>[1]Attendance!W48</f>
        <v>P</v>
      </c>
      <c r="X48" s="18" t="str">
        <f>[1]Attendance!X48</f>
        <v>H</v>
      </c>
      <c r="Y48" s="18" t="str">
        <f>[1]Attendance!Y48</f>
        <v>P</v>
      </c>
      <c r="Z48" s="18" t="str">
        <f>[1]Attendance!Z48</f>
        <v>P</v>
      </c>
      <c r="AA48" s="18" t="str">
        <f>[1]Attendance!AA48</f>
        <v>P</v>
      </c>
      <c r="AB48" s="18" t="str">
        <f>[1]Attendance!AB48</f>
        <v>P</v>
      </c>
      <c r="AC48" s="18" t="str">
        <f>[1]Attendance!AC48</f>
        <v>P</v>
      </c>
      <c r="AD48" s="18" t="str">
        <f>[1]Attendance!AD48</f>
        <v>P</v>
      </c>
      <c r="AE48" s="19">
        <f>[1]Attendance!AI48/[1]Attendance!AH48</f>
        <v>589.28571428571433</v>
      </c>
      <c r="AF48" s="19">
        <f t="shared" si="1"/>
        <v>28</v>
      </c>
      <c r="AG48" s="20">
        <v>0</v>
      </c>
      <c r="AH48" s="20">
        <v>0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f t="shared" si="4"/>
        <v>16500</v>
      </c>
      <c r="BE48" s="20">
        <f t="shared" si="2"/>
        <v>16500</v>
      </c>
    </row>
    <row r="49" spans="1:57" ht="17.100000000000001" customHeight="1" x14ac:dyDescent="0.35">
      <c r="A49" s="16">
        <v>46</v>
      </c>
      <c r="B49" s="17" t="str">
        <f>[1]Attendance!B49</f>
        <v>Shivarathri Swapna</v>
      </c>
      <c r="C49" s="18" t="str">
        <f>[1]Attendance!C49</f>
        <v>H</v>
      </c>
      <c r="D49" s="18" t="str">
        <f>[1]Attendance!D49</f>
        <v>L</v>
      </c>
      <c r="E49" s="18" t="str">
        <f>[1]Attendance!E49</f>
        <v>P</v>
      </c>
      <c r="F49" s="18" t="str">
        <f>[1]Attendance!F49</f>
        <v>P</v>
      </c>
      <c r="G49" s="18" t="str">
        <f>[1]Attendance!G49</f>
        <v>P</v>
      </c>
      <c r="H49" s="18" t="str">
        <f>[1]Attendance!H49</f>
        <v>P</v>
      </c>
      <c r="I49" s="18" t="str">
        <f>[1]Attendance!I49</f>
        <v>P</v>
      </c>
      <c r="J49" s="18" t="str">
        <f>[1]Attendance!J49</f>
        <v>H</v>
      </c>
      <c r="K49" s="18" t="str">
        <f>[1]Attendance!K49</f>
        <v>P</v>
      </c>
      <c r="L49" s="18" t="str">
        <f>[1]Attendance!L49</f>
        <v>P</v>
      </c>
      <c r="M49" s="18" t="str">
        <f>[1]Attendance!M49</f>
        <v>P</v>
      </c>
      <c r="N49" s="18" t="str">
        <f>[1]Attendance!N49</f>
        <v>P</v>
      </c>
      <c r="O49" s="18" t="str">
        <f>[1]Attendance!O49</f>
        <v>P</v>
      </c>
      <c r="P49" s="18" t="str">
        <f>[1]Attendance!P49</f>
        <v>P</v>
      </c>
      <c r="Q49" s="18" t="str">
        <f>[1]Attendance!Q49</f>
        <v>H</v>
      </c>
      <c r="R49" s="18" t="str">
        <f>[1]Attendance!R49</f>
        <v>L</v>
      </c>
      <c r="S49" s="18" t="str">
        <f>[1]Attendance!S49</f>
        <v>P</v>
      </c>
      <c r="T49" s="18" t="str">
        <f>[1]Attendance!T49</f>
        <v>P</v>
      </c>
      <c r="U49" s="18" t="str">
        <f>[1]Attendance!U49</f>
        <v>P</v>
      </c>
      <c r="V49" s="18" t="str">
        <f>[1]Attendance!V49</f>
        <v>P</v>
      </c>
      <c r="W49" s="18" t="str">
        <f>[1]Attendance!W49</f>
        <v>P</v>
      </c>
      <c r="X49" s="18" t="str">
        <f>[1]Attendance!X49</f>
        <v>H</v>
      </c>
      <c r="Y49" s="18" t="str">
        <f>[1]Attendance!Y49</f>
        <v>P</v>
      </c>
      <c r="Z49" s="18" t="str">
        <f>[1]Attendance!Z49</f>
        <v>P</v>
      </c>
      <c r="AA49" s="18" t="str">
        <f>[1]Attendance!AA49</f>
        <v>P</v>
      </c>
      <c r="AB49" s="18" t="str">
        <f>[1]Attendance!AB49</f>
        <v>P</v>
      </c>
      <c r="AC49" s="18" t="str">
        <f>[1]Attendance!AC49</f>
        <v>P</v>
      </c>
      <c r="AD49" s="18" t="str">
        <f>[1]Attendance!AD49</f>
        <v>P</v>
      </c>
      <c r="AE49" s="19">
        <f>[1]Attendance!AI49/[1]Attendance!AH49</f>
        <v>589.26923076923072</v>
      </c>
      <c r="AF49" s="19">
        <f t="shared" si="1"/>
        <v>26</v>
      </c>
      <c r="AG49" s="20">
        <v>0</v>
      </c>
      <c r="AH49" s="20">
        <v>0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f t="shared" si="4"/>
        <v>15320.999999999998</v>
      </c>
      <c r="BE49" s="20">
        <f t="shared" si="2"/>
        <v>15321</v>
      </c>
    </row>
    <row r="50" spans="1:57" ht="17.100000000000001" customHeight="1" x14ac:dyDescent="0.35">
      <c r="A50" s="16">
        <v>47</v>
      </c>
      <c r="B50" s="17" t="str">
        <f>[1]Attendance!B50</f>
        <v>Tandra Sabastin</v>
      </c>
      <c r="C50" s="18" t="str">
        <f>[1]Attendance!C50</f>
        <v>H</v>
      </c>
      <c r="D50" s="18" t="str">
        <f>[1]Attendance!D50</f>
        <v>P</v>
      </c>
      <c r="E50" s="18" t="str">
        <f>[1]Attendance!E50</f>
        <v>P</v>
      </c>
      <c r="F50" s="18" t="str">
        <f>[1]Attendance!F50</f>
        <v>P</v>
      </c>
      <c r="G50" s="18" t="str">
        <f>[1]Attendance!G50</f>
        <v>P</v>
      </c>
      <c r="H50" s="18" t="str">
        <f>[1]Attendance!H50</f>
        <v>L</v>
      </c>
      <c r="I50" s="18" t="str">
        <f>[1]Attendance!I50</f>
        <v>P</v>
      </c>
      <c r="J50" s="18" t="str">
        <f>[1]Attendance!J50</f>
        <v>H</v>
      </c>
      <c r="K50" s="18" t="str">
        <f>[1]Attendance!K50</f>
        <v>P</v>
      </c>
      <c r="L50" s="18" t="str">
        <f>[1]Attendance!L50</f>
        <v>P</v>
      </c>
      <c r="M50" s="18" t="str">
        <f>[1]Attendance!M50</f>
        <v>P</v>
      </c>
      <c r="N50" s="18" t="str">
        <f>[1]Attendance!N50</f>
        <v>P</v>
      </c>
      <c r="O50" s="18" t="str">
        <f>[1]Attendance!O50</f>
        <v>P</v>
      </c>
      <c r="P50" s="18" t="str">
        <f>[1]Attendance!P50</f>
        <v>P</v>
      </c>
      <c r="Q50" s="18" t="str">
        <f>[1]Attendance!Q50</f>
        <v>H</v>
      </c>
      <c r="R50" s="18" t="str">
        <f>[1]Attendance!R50</f>
        <v>P</v>
      </c>
      <c r="S50" s="18" t="str">
        <f>[1]Attendance!S50</f>
        <v>P</v>
      </c>
      <c r="T50" s="18" t="str">
        <f>[1]Attendance!T50</f>
        <v>P</v>
      </c>
      <c r="U50" s="18" t="str">
        <f>[1]Attendance!U50</f>
        <v>P</v>
      </c>
      <c r="V50" s="18" t="str">
        <f>[1]Attendance!V50</f>
        <v>P</v>
      </c>
      <c r="W50" s="18" t="str">
        <f>[1]Attendance!W50</f>
        <v>P</v>
      </c>
      <c r="X50" s="18" t="str">
        <f>[1]Attendance!X50</f>
        <v>H</v>
      </c>
      <c r="Y50" s="18" t="str">
        <f>[1]Attendance!Y50</f>
        <v>P</v>
      </c>
      <c r="Z50" s="18" t="str">
        <f>[1]Attendance!Z50</f>
        <v>P</v>
      </c>
      <c r="AA50" s="18" t="str">
        <f>[1]Attendance!AA50</f>
        <v>P</v>
      </c>
      <c r="AB50" s="18" t="str">
        <f>[1]Attendance!AB50</f>
        <v>P</v>
      </c>
      <c r="AC50" s="18" t="str">
        <f>[1]Attendance!AC50</f>
        <v>P</v>
      </c>
      <c r="AD50" s="18" t="str">
        <f>[1]Attendance!AD50</f>
        <v>P</v>
      </c>
      <c r="AE50" s="19">
        <f>[1]Attendance!AI50/[1]Attendance!AH50</f>
        <v>589.2962962962963</v>
      </c>
      <c r="AF50" s="19">
        <f t="shared" si="1"/>
        <v>27</v>
      </c>
      <c r="AG50" s="20">
        <v>0</v>
      </c>
      <c r="AH50" s="20">
        <v>0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f t="shared" si="4"/>
        <v>15911</v>
      </c>
      <c r="BE50" s="20">
        <f t="shared" si="2"/>
        <v>15911</v>
      </c>
    </row>
    <row r="51" spans="1:57" ht="17.100000000000001" customHeight="1" x14ac:dyDescent="0.35">
      <c r="A51" s="16">
        <v>48</v>
      </c>
      <c r="B51" s="17" t="str">
        <f>[1]Attendance!B51</f>
        <v>Thabasum Afreen</v>
      </c>
      <c r="C51" s="18" t="str">
        <f>[1]Attendance!C51</f>
        <v>H</v>
      </c>
      <c r="D51" s="18" t="str">
        <f>[1]Attendance!D51</f>
        <v>P</v>
      </c>
      <c r="E51" s="18" t="str">
        <f>[1]Attendance!E51</f>
        <v>P</v>
      </c>
      <c r="F51" s="18" t="str">
        <f>[1]Attendance!F51</f>
        <v>L</v>
      </c>
      <c r="G51" s="18" t="str">
        <f>[1]Attendance!G51</f>
        <v>P</v>
      </c>
      <c r="H51" s="18" t="str">
        <f>[1]Attendance!H51</f>
        <v>P</v>
      </c>
      <c r="I51" s="18" t="str">
        <f>[1]Attendance!I51</f>
        <v>P</v>
      </c>
      <c r="J51" s="18" t="str">
        <f>[1]Attendance!J51</f>
        <v>H</v>
      </c>
      <c r="K51" s="18" t="str">
        <f>[1]Attendance!K51</f>
        <v>P</v>
      </c>
      <c r="L51" s="18" t="str">
        <f>[1]Attendance!L51</f>
        <v>P</v>
      </c>
      <c r="M51" s="18" t="str">
        <f>[1]Attendance!M51</f>
        <v>P</v>
      </c>
      <c r="N51" s="18" t="str">
        <f>[1]Attendance!N51</f>
        <v>P</v>
      </c>
      <c r="O51" s="18" t="str">
        <f>[1]Attendance!O51</f>
        <v>P</v>
      </c>
      <c r="P51" s="18" t="str">
        <f>[1]Attendance!P51</f>
        <v>P</v>
      </c>
      <c r="Q51" s="18" t="str">
        <f>[1]Attendance!Q51</f>
        <v>H</v>
      </c>
      <c r="R51" s="18" t="str">
        <f>[1]Attendance!R51</f>
        <v>P</v>
      </c>
      <c r="S51" s="18" t="str">
        <f>[1]Attendance!S51</f>
        <v>P</v>
      </c>
      <c r="T51" s="18" t="str">
        <f>[1]Attendance!T51</f>
        <v>P</v>
      </c>
      <c r="U51" s="18" t="str">
        <f>[1]Attendance!U51</f>
        <v>P</v>
      </c>
      <c r="V51" s="18" t="str">
        <f>[1]Attendance!V51</f>
        <v>P</v>
      </c>
      <c r="W51" s="18" t="str">
        <f>[1]Attendance!W51</f>
        <v>P</v>
      </c>
      <c r="X51" s="18" t="str">
        <f>[1]Attendance!X51</f>
        <v>H</v>
      </c>
      <c r="Y51" s="18" t="str">
        <f>[1]Attendance!Y51</f>
        <v>P</v>
      </c>
      <c r="Z51" s="18" t="str">
        <f>[1]Attendance!Z51</f>
        <v>P</v>
      </c>
      <c r="AA51" s="18" t="str">
        <f>[1]Attendance!AA51</f>
        <v>P</v>
      </c>
      <c r="AB51" s="18" t="str">
        <f>[1]Attendance!AB51</f>
        <v>P</v>
      </c>
      <c r="AC51" s="18" t="str">
        <f>[1]Attendance!AC51</f>
        <v>P</v>
      </c>
      <c r="AD51" s="18" t="str">
        <f>[1]Attendance!AD51</f>
        <v>P</v>
      </c>
      <c r="AE51" s="19">
        <f>[1]Attendance!AI51/[1]Attendance!AH51</f>
        <v>589.2962962962963</v>
      </c>
      <c r="AF51" s="19">
        <f t="shared" si="1"/>
        <v>27</v>
      </c>
      <c r="AG51" s="20">
        <v>0</v>
      </c>
      <c r="AH51" s="20">
        <v>0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f t="shared" si="4"/>
        <v>15911</v>
      </c>
      <c r="BE51" s="20">
        <f t="shared" si="2"/>
        <v>15911</v>
      </c>
    </row>
    <row r="52" spans="1:57" ht="17.100000000000001" customHeight="1" x14ac:dyDescent="0.35">
      <c r="A52" s="16">
        <v>49</v>
      </c>
      <c r="B52" s="17" t="str">
        <f>[1]Attendance!B52</f>
        <v>Thatipally Manoj Kumar</v>
      </c>
      <c r="C52" s="18" t="str">
        <f>[1]Attendance!C52</f>
        <v>H</v>
      </c>
      <c r="D52" s="18" t="str">
        <f>[1]Attendance!D52</f>
        <v>P</v>
      </c>
      <c r="E52" s="18" t="str">
        <f>[1]Attendance!E52</f>
        <v>P</v>
      </c>
      <c r="F52" s="18" t="str">
        <f>[1]Attendance!F52</f>
        <v>P</v>
      </c>
      <c r="G52" s="18" t="str">
        <f>[1]Attendance!G52</f>
        <v>P</v>
      </c>
      <c r="H52" s="18" t="str">
        <f>[1]Attendance!H52</f>
        <v>P</v>
      </c>
      <c r="I52" s="18" t="str">
        <f>[1]Attendance!I52</f>
        <v>P</v>
      </c>
      <c r="J52" s="18" t="str">
        <f>[1]Attendance!J52</f>
        <v>H</v>
      </c>
      <c r="K52" s="18" t="str">
        <f>[1]Attendance!K52</f>
        <v>P</v>
      </c>
      <c r="L52" s="18" t="str">
        <f>[1]Attendance!L52</f>
        <v>P</v>
      </c>
      <c r="M52" s="18" t="str">
        <f>[1]Attendance!M52</f>
        <v>P</v>
      </c>
      <c r="N52" s="18" t="str">
        <f>[1]Attendance!N52</f>
        <v>P</v>
      </c>
      <c r="O52" s="18" t="str">
        <f>[1]Attendance!O52</f>
        <v>P</v>
      </c>
      <c r="P52" s="18" t="str">
        <f>[1]Attendance!P52</f>
        <v>P</v>
      </c>
      <c r="Q52" s="18" t="str">
        <f>[1]Attendance!Q52</f>
        <v>H</v>
      </c>
      <c r="R52" s="18" t="str">
        <f>[1]Attendance!R52</f>
        <v>P</v>
      </c>
      <c r="S52" s="18" t="str">
        <f>[1]Attendance!S52</f>
        <v>P</v>
      </c>
      <c r="T52" s="18" t="str">
        <f>[1]Attendance!T52</f>
        <v>P</v>
      </c>
      <c r="U52" s="18" t="str">
        <f>[1]Attendance!U52</f>
        <v>P</v>
      </c>
      <c r="V52" s="18" t="str">
        <f>[1]Attendance!V52</f>
        <v>P</v>
      </c>
      <c r="W52" s="18" t="str">
        <f>[1]Attendance!W52</f>
        <v>P</v>
      </c>
      <c r="X52" s="18" t="str">
        <f>[1]Attendance!X52</f>
        <v>H</v>
      </c>
      <c r="Y52" s="18" t="str">
        <f>[1]Attendance!Y52</f>
        <v>P</v>
      </c>
      <c r="Z52" s="18" t="str">
        <f>[1]Attendance!Z52</f>
        <v>P</v>
      </c>
      <c r="AA52" s="18" t="str">
        <f>[1]Attendance!AA52</f>
        <v>P</v>
      </c>
      <c r="AB52" s="18" t="str">
        <f>[1]Attendance!AB52</f>
        <v>P</v>
      </c>
      <c r="AC52" s="18" t="str">
        <f>[1]Attendance!AC52</f>
        <v>P</v>
      </c>
      <c r="AD52" s="18" t="str">
        <f>[1]Attendance!AD52</f>
        <v>P</v>
      </c>
      <c r="AE52" s="19">
        <f>[1]Attendance!AI52/[1]Attendance!AH52</f>
        <v>589.28571428571433</v>
      </c>
      <c r="AF52" s="19">
        <f t="shared" si="1"/>
        <v>28</v>
      </c>
      <c r="AG52" s="20">
        <v>0</v>
      </c>
      <c r="AH52" s="20">
        <v>0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f t="shared" si="4"/>
        <v>16500</v>
      </c>
      <c r="BE52" s="20">
        <f t="shared" si="2"/>
        <v>16500</v>
      </c>
    </row>
    <row r="53" spans="1:57" ht="17.100000000000001" customHeight="1" x14ac:dyDescent="0.35">
      <c r="A53" s="16">
        <v>50</v>
      </c>
      <c r="B53" s="17" t="str">
        <f>[1]Attendance!B53</f>
        <v>Thurpati vijay Bhaskar</v>
      </c>
      <c r="C53" s="18" t="str">
        <f>[1]Attendance!C53</f>
        <v>H</v>
      </c>
      <c r="D53" s="18" t="str">
        <f>[1]Attendance!D53</f>
        <v>P</v>
      </c>
      <c r="E53" s="18" t="str">
        <f>[1]Attendance!E53</f>
        <v>P</v>
      </c>
      <c r="F53" s="18" t="str">
        <f>[1]Attendance!F53</f>
        <v>P</v>
      </c>
      <c r="G53" s="18" t="str">
        <f>[1]Attendance!G53</f>
        <v>P</v>
      </c>
      <c r="H53" s="18" t="str">
        <f>[1]Attendance!H53</f>
        <v>P</v>
      </c>
      <c r="I53" s="18" t="str">
        <f>[1]Attendance!I53</f>
        <v>P</v>
      </c>
      <c r="J53" s="18" t="str">
        <f>[1]Attendance!J53</f>
        <v>H</v>
      </c>
      <c r="K53" s="18" t="str">
        <f>[1]Attendance!K53</f>
        <v>P</v>
      </c>
      <c r="L53" s="18" t="str">
        <f>[1]Attendance!L53</f>
        <v>P</v>
      </c>
      <c r="M53" s="18" t="str">
        <f>[1]Attendance!M53</f>
        <v>P</v>
      </c>
      <c r="N53" s="18" t="str">
        <f>[1]Attendance!N53</f>
        <v>P</v>
      </c>
      <c r="O53" s="18" t="str">
        <f>[1]Attendance!O53</f>
        <v>P</v>
      </c>
      <c r="P53" s="18" t="str">
        <f>[1]Attendance!P53</f>
        <v>P</v>
      </c>
      <c r="Q53" s="18" t="str">
        <f>[1]Attendance!Q53</f>
        <v>H</v>
      </c>
      <c r="R53" s="18" t="str">
        <f>[1]Attendance!R53</f>
        <v>P</v>
      </c>
      <c r="S53" s="18" t="str">
        <f>[1]Attendance!S53</f>
        <v>P</v>
      </c>
      <c r="T53" s="18" t="str">
        <f>[1]Attendance!T53</f>
        <v>L</v>
      </c>
      <c r="U53" s="18" t="str">
        <f>[1]Attendance!U53</f>
        <v>L</v>
      </c>
      <c r="V53" s="18" t="str">
        <f>[1]Attendance!V53</f>
        <v>L</v>
      </c>
      <c r="W53" s="18" t="str">
        <f>[1]Attendance!W53</f>
        <v>L</v>
      </c>
      <c r="X53" s="18" t="str">
        <f>[1]Attendance!X53</f>
        <v>H</v>
      </c>
      <c r="Y53" s="18" t="str">
        <f>[1]Attendance!Y53</f>
        <v>P</v>
      </c>
      <c r="Z53" s="18" t="str">
        <f>[1]Attendance!Z53</f>
        <v>P</v>
      </c>
      <c r="AA53" s="18" t="str">
        <f>[1]Attendance!AA53</f>
        <v>P</v>
      </c>
      <c r="AB53" s="18" t="str">
        <f>[1]Attendance!AB53</f>
        <v>P</v>
      </c>
      <c r="AC53" s="18" t="str">
        <f>[1]Attendance!AC53</f>
        <v>P</v>
      </c>
      <c r="AD53" s="18" t="str">
        <f>[1]Attendance!AD53</f>
        <v>L</v>
      </c>
      <c r="AE53" s="19">
        <f>[1]Attendance!AI53/[1]Attendance!AH53</f>
        <v>589.304347826087</v>
      </c>
      <c r="AF53" s="19">
        <f t="shared" si="1"/>
        <v>23</v>
      </c>
      <c r="AG53" s="20">
        <v>0</v>
      </c>
      <c r="AH53" s="20">
        <v>0</v>
      </c>
      <c r="AI53" s="20">
        <v>0</v>
      </c>
      <c r="AJ53" s="20">
        <v>0</v>
      </c>
      <c r="AK53" s="20">
        <v>0</v>
      </c>
      <c r="AL53" s="20">
        <f>AE53*2</f>
        <v>1178.608695652174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f>AE53*21</f>
        <v>12375.391304347828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f t="shared" si="2"/>
        <v>13554</v>
      </c>
    </row>
    <row r="54" spans="1:57" ht="17.100000000000001" customHeight="1" x14ac:dyDescent="0.35">
      <c r="A54" s="16">
        <v>51</v>
      </c>
      <c r="B54" s="17" t="str">
        <f>[1]Attendance!B54</f>
        <v>Ushanolla Ravali</v>
      </c>
      <c r="C54" s="18" t="str">
        <f>[1]Attendance!C54</f>
        <v>H</v>
      </c>
      <c r="D54" s="18" t="str">
        <f>[1]Attendance!D54</f>
        <v>P</v>
      </c>
      <c r="E54" s="18" t="str">
        <f>[1]Attendance!E54</f>
        <v>P</v>
      </c>
      <c r="F54" s="18" t="str">
        <f>[1]Attendance!F54</f>
        <v>P</v>
      </c>
      <c r="G54" s="18" t="str">
        <f>[1]Attendance!G54</f>
        <v>P</v>
      </c>
      <c r="H54" s="18" t="str">
        <f>[1]Attendance!H54</f>
        <v>L</v>
      </c>
      <c r="I54" s="18" t="str">
        <f>[1]Attendance!I54</f>
        <v>P</v>
      </c>
      <c r="J54" s="18" t="str">
        <f>[1]Attendance!J54</f>
        <v>H</v>
      </c>
      <c r="K54" s="18" t="str">
        <f>[1]Attendance!K54</f>
        <v>P</v>
      </c>
      <c r="L54" s="18" t="str">
        <f>[1]Attendance!L54</f>
        <v>P</v>
      </c>
      <c r="M54" s="18" t="str">
        <f>[1]Attendance!M54</f>
        <v>P</v>
      </c>
      <c r="N54" s="18" t="str">
        <f>[1]Attendance!N54</f>
        <v>P</v>
      </c>
      <c r="O54" s="18" t="str">
        <f>[1]Attendance!O54</f>
        <v>P</v>
      </c>
      <c r="P54" s="18" t="str">
        <f>[1]Attendance!P54</f>
        <v>P</v>
      </c>
      <c r="Q54" s="18" t="str">
        <f>[1]Attendance!Q54</f>
        <v>H</v>
      </c>
      <c r="R54" s="18" t="str">
        <f>[1]Attendance!R54</f>
        <v>P</v>
      </c>
      <c r="S54" s="18" t="str">
        <f>[1]Attendance!S54</f>
        <v>P</v>
      </c>
      <c r="T54" s="18" t="str">
        <f>[1]Attendance!T54</f>
        <v>P</v>
      </c>
      <c r="U54" s="18" t="str">
        <f>[1]Attendance!U54</f>
        <v>P</v>
      </c>
      <c r="V54" s="18" t="str">
        <f>[1]Attendance!V54</f>
        <v>P</v>
      </c>
      <c r="W54" s="18" t="str">
        <f>[1]Attendance!W54</f>
        <v>P</v>
      </c>
      <c r="X54" s="18" t="str">
        <f>[1]Attendance!X54</f>
        <v>H</v>
      </c>
      <c r="Y54" s="18" t="str">
        <f>[1]Attendance!Y54</f>
        <v>P</v>
      </c>
      <c r="Z54" s="18" t="str">
        <f>[1]Attendance!Z54</f>
        <v>P</v>
      </c>
      <c r="AA54" s="18" t="str">
        <f>[1]Attendance!AA54</f>
        <v>P</v>
      </c>
      <c r="AB54" s="18" t="str">
        <f>[1]Attendance!AB54</f>
        <v>P</v>
      </c>
      <c r="AC54" s="18" t="str">
        <f>[1]Attendance!AC54</f>
        <v>P</v>
      </c>
      <c r="AD54" s="18" t="str">
        <f>[1]Attendance!AD54</f>
        <v>P</v>
      </c>
      <c r="AE54" s="19">
        <f>[1]Attendance!AI54/[1]Attendance!AH54</f>
        <v>589.2962962962963</v>
      </c>
      <c r="AF54" s="19">
        <f t="shared" si="1"/>
        <v>27</v>
      </c>
      <c r="AG54" s="20">
        <v>0</v>
      </c>
      <c r="AH54" s="20">
        <v>0</v>
      </c>
      <c r="AI54" s="20">
        <v>0</v>
      </c>
      <c r="AJ54" s="20">
        <v>0</v>
      </c>
      <c r="AK54" s="20">
        <v>0</v>
      </c>
      <c r="AL54" s="20">
        <f>AE54*11</f>
        <v>6482.2592592592591</v>
      </c>
      <c r="AM54" s="20">
        <v>0</v>
      </c>
      <c r="AN54" s="20">
        <f>AE54*16</f>
        <v>9428.7407407407409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f t="shared" si="2"/>
        <v>15911</v>
      </c>
    </row>
    <row r="55" spans="1:57" ht="17.100000000000001" customHeight="1" x14ac:dyDescent="0.35">
      <c r="A55" s="16">
        <v>52</v>
      </c>
      <c r="B55" s="17" t="str">
        <f>[1]Attendance!B55</f>
        <v>Ushanula Ramya</v>
      </c>
      <c r="C55" s="18" t="str">
        <f>[1]Attendance!C55</f>
        <v>H</v>
      </c>
      <c r="D55" s="18" t="str">
        <f>[1]Attendance!D55</f>
        <v>P</v>
      </c>
      <c r="E55" s="18" t="str">
        <f>[1]Attendance!E55</f>
        <v>P</v>
      </c>
      <c r="F55" s="18" t="str">
        <f>[1]Attendance!F55</f>
        <v>P</v>
      </c>
      <c r="G55" s="18" t="str">
        <f>[1]Attendance!G55</f>
        <v>P</v>
      </c>
      <c r="H55" s="18" t="str">
        <f>[1]Attendance!H55</f>
        <v>P</v>
      </c>
      <c r="I55" s="18" t="str">
        <f>[1]Attendance!I55</f>
        <v>P</v>
      </c>
      <c r="J55" s="18" t="str">
        <f>[1]Attendance!J55</f>
        <v>H</v>
      </c>
      <c r="K55" s="18" t="str">
        <f>[1]Attendance!K55</f>
        <v>P</v>
      </c>
      <c r="L55" s="18" t="str">
        <f>[1]Attendance!L55</f>
        <v>P</v>
      </c>
      <c r="M55" s="18" t="str">
        <f>[1]Attendance!M55</f>
        <v>P</v>
      </c>
      <c r="N55" s="18" t="str">
        <f>[1]Attendance!N55</f>
        <v>P</v>
      </c>
      <c r="O55" s="18" t="str">
        <f>[1]Attendance!O55</f>
        <v>P</v>
      </c>
      <c r="P55" s="18" t="str">
        <f>[1]Attendance!P55</f>
        <v>P</v>
      </c>
      <c r="Q55" s="18" t="str">
        <f>[1]Attendance!Q55</f>
        <v>H</v>
      </c>
      <c r="R55" s="18" t="str">
        <f>[1]Attendance!R55</f>
        <v>L</v>
      </c>
      <c r="S55" s="18" t="str">
        <f>[1]Attendance!S55</f>
        <v>P</v>
      </c>
      <c r="T55" s="18" t="str">
        <f>[1]Attendance!T55</f>
        <v>P</v>
      </c>
      <c r="U55" s="18" t="str">
        <f>[1]Attendance!U55</f>
        <v>P</v>
      </c>
      <c r="V55" s="18" t="str">
        <f>[1]Attendance!V55</f>
        <v>P</v>
      </c>
      <c r="W55" s="18" t="str">
        <f>[1]Attendance!W55</f>
        <v>P</v>
      </c>
      <c r="X55" s="18" t="str">
        <f>[1]Attendance!X55</f>
        <v>H</v>
      </c>
      <c r="Y55" s="18" t="str">
        <f>[1]Attendance!Y55</f>
        <v>P</v>
      </c>
      <c r="Z55" s="18" t="str">
        <f>[1]Attendance!Z55</f>
        <v>P</v>
      </c>
      <c r="AA55" s="18" t="str">
        <f>[1]Attendance!AA55</f>
        <v>P</v>
      </c>
      <c r="AB55" s="18" t="str">
        <f>[1]Attendance!AB55</f>
        <v>P</v>
      </c>
      <c r="AC55" s="18" t="str">
        <f>[1]Attendance!AC55</f>
        <v>P</v>
      </c>
      <c r="AD55" s="18" t="str">
        <f>[1]Attendance!AD55</f>
        <v>P</v>
      </c>
      <c r="AE55" s="19">
        <f>[1]Attendance!AI55/[1]Attendance!AH55</f>
        <v>589.2962962962963</v>
      </c>
      <c r="AF55" s="19">
        <f t="shared" si="1"/>
        <v>27</v>
      </c>
      <c r="AG55" s="20">
        <v>0</v>
      </c>
      <c r="AH55" s="20">
        <v>0</v>
      </c>
      <c r="AI55" s="20">
        <v>0</v>
      </c>
      <c r="AJ55" s="20">
        <v>0</v>
      </c>
      <c r="AK55" s="20">
        <v>0</v>
      </c>
      <c r="AL55" s="20">
        <f>AE55*11</f>
        <v>6482.2592592592591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f>AE55*16</f>
        <v>9428.7407407407409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f t="shared" si="2"/>
        <v>15911</v>
      </c>
    </row>
    <row r="56" spans="1:57" ht="17.100000000000001" customHeight="1" x14ac:dyDescent="0.35">
      <c r="A56" s="16">
        <v>53</v>
      </c>
      <c r="B56" s="17" t="str">
        <f>[1]Attendance!B56</f>
        <v>Chejerla Nagavamsidhar Reddy</v>
      </c>
      <c r="C56" s="18" t="str">
        <f>[1]Attendance!C56</f>
        <v>-</v>
      </c>
      <c r="D56" s="18" t="str">
        <f>[1]Attendance!D56</f>
        <v>P</v>
      </c>
      <c r="E56" s="18" t="str">
        <f>[1]Attendance!E56</f>
        <v>P</v>
      </c>
      <c r="F56" s="18" t="str">
        <f>[1]Attendance!F56</f>
        <v>P</v>
      </c>
      <c r="G56" s="18" t="str">
        <f>[1]Attendance!G56</f>
        <v>P</v>
      </c>
      <c r="H56" s="18" t="str">
        <f>[1]Attendance!H56</f>
        <v>P</v>
      </c>
      <c r="I56" s="18" t="str">
        <f>[1]Attendance!I56</f>
        <v>P</v>
      </c>
      <c r="J56" s="18" t="str">
        <f>[1]Attendance!J56</f>
        <v>H</v>
      </c>
      <c r="K56" s="18" t="str">
        <f>[1]Attendance!K56</f>
        <v>P</v>
      </c>
      <c r="L56" s="18" t="str">
        <f>[1]Attendance!L56</f>
        <v>P</v>
      </c>
      <c r="M56" s="18" t="str">
        <f>[1]Attendance!M56</f>
        <v>P</v>
      </c>
      <c r="N56" s="18" t="str">
        <f>[1]Attendance!N56</f>
        <v>P</v>
      </c>
      <c r="O56" s="18" t="str">
        <f>[1]Attendance!O56</f>
        <v>P</v>
      </c>
      <c r="P56" s="18" t="str">
        <f>[1]Attendance!P56</f>
        <v>P</v>
      </c>
      <c r="Q56" s="18" t="str">
        <f>[1]Attendance!Q56</f>
        <v>H</v>
      </c>
      <c r="R56" s="18" t="str">
        <f>[1]Attendance!R56</f>
        <v>P</v>
      </c>
      <c r="S56" s="18" t="str">
        <f>[1]Attendance!S56</f>
        <v>P</v>
      </c>
      <c r="T56" s="18" t="str">
        <f>[1]Attendance!T56</f>
        <v>P</v>
      </c>
      <c r="U56" s="18" t="str">
        <f>[1]Attendance!U56</f>
        <v>P</v>
      </c>
      <c r="V56" s="18" t="str">
        <f>[1]Attendance!V56</f>
        <v>P</v>
      </c>
      <c r="W56" s="18" t="str">
        <f>[1]Attendance!W56</f>
        <v>P</v>
      </c>
      <c r="X56" s="18" t="str">
        <f>[1]Attendance!X56</f>
        <v>H</v>
      </c>
      <c r="Y56" s="18" t="str">
        <f>[1]Attendance!Y56</f>
        <v>P</v>
      </c>
      <c r="Z56" s="18" t="str">
        <f>[1]Attendance!Z56</f>
        <v>P</v>
      </c>
      <c r="AA56" s="18" t="str">
        <f>[1]Attendance!AA56</f>
        <v>P</v>
      </c>
      <c r="AB56" s="18" t="str">
        <f>[1]Attendance!AB56</f>
        <v>P</v>
      </c>
      <c r="AC56" s="18" t="str">
        <f>[1]Attendance!AC56</f>
        <v>P</v>
      </c>
      <c r="AD56" s="18" t="str">
        <f>[1]Attendance!AD56</f>
        <v>P</v>
      </c>
      <c r="AE56" s="19">
        <f>[1]Attendance!AI56/[1]Attendance!AH56</f>
        <v>589.2962962962963</v>
      </c>
      <c r="AF56" s="19">
        <f t="shared" si="1"/>
        <v>27</v>
      </c>
      <c r="AG56" s="20">
        <v>0</v>
      </c>
      <c r="AH56" s="20">
        <v>0</v>
      </c>
      <c r="AI56" s="20">
        <v>0</v>
      </c>
      <c r="AJ56" s="20">
        <v>0</v>
      </c>
      <c r="AK56" s="20">
        <v>0</v>
      </c>
      <c r="AL56" s="20">
        <f>AE56*11</f>
        <v>6482.2592592592591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f>AE56*16</f>
        <v>9428.7407407407409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f t="shared" si="2"/>
        <v>15911</v>
      </c>
    </row>
    <row r="57" spans="1:57" ht="17.100000000000001" customHeight="1" x14ac:dyDescent="0.3">
      <c r="AG57" s="20">
        <f t="shared" ref="AG57:BE57" si="5">SUM(AG4:AG56)</f>
        <v>11196.541666666666</v>
      </c>
      <c r="AH57" s="20">
        <f t="shared" si="5"/>
        <v>15320.999999999998</v>
      </c>
      <c r="AI57" s="20">
        <f t="shared" si="5"/>
        <v>7660.8518518518522</v>
      </c>
      <c r="AJ57" s="20">
        <f t="shared" si="5"/>
        <v>39482</v>
      </c>
      <c r="AK57" s="20">
        <f t="shared" si="5"/>
        <v>14732</v>
      </c>
      <c r="AL57" s="20">
        <f t="shared" si="5"/>
        <v>25339.757850241545</v>
      </c>
      <c r="AM57" s="20">
        <f t="shared" si="5"/>
        <v>15911</v>
      </c>
      <c r="AN57" s="20">
        <f t="shared" si="5"/>
        <v>9428.7407407407409</v>
      </c>
      <c r="AO57" s="20">
        <f t="shared" si="5"/>
        <v>11786.08695652174</v>
      </c>
      <c r="AP57" s="20">
        <f t="shared" si="5"/>
        <v>13554</v>
      </c>
      <c r="AQ57" s="20">
        <f t="shared" si="5"/>
        <v>8250.1481481481478</v>
      </c>
      <c r="AR57" s="20">
        <f t="shared" si="5"/>
        <v>7071.5</v>
      </c>
      <c r="AS57" s="20">
        <f t="shared" si="5"/>
        <v>7660.8518518518522</v>
      </c>
      <c r="AT57" s="20">
        <f t="shared" si="5"/>
        <v>8250.1481481481478</v>
      </c>
      <c r="AU57" s="20">
        <f t="shared" si="5"/>
        <v>31232</v>
      </c>
      <c r="AV57" s="20">
        <f t="shared" si="5"/>
        <v>12375.391304347828</v>
      </c>
      <c r="AW57" s="20">
        <f t="shared" si="5"/>
        <v>9428.7407407407409</v>
      </c>
      <c r="AX57" s="20">
        <f t="shared" si="5"/>
        <v>5892.9166666666661</v>
      </c>
      <c r="AY57" s="20">
        <f t="shared" si="5"/>
        <v>9428.7407407407409</v>
      </c>
      <c r="AZ57" s="20">
        <f t="shared" si="5"/>
        <v>7071.5</v>
      </c>
      <c r="BA57" s="20">
        <f t="shared" si="5"/>
        <v>8250.0833333333321</v>
      </c>
      <c r="BB57" s="20">
        <f t="shared" si="5"/>
        <v>11196</v>
      </c>
      <c r="BC57" s="20">
        <f t="shared" si="5"/>
        <v>118446</v>
      </c>
      <c r="BD57" s="20">
        <f t="shared" si="5"/>
        <v>393053</v>
      </c>
      <c r="BE57" s="20">
        <f t="shared" si="5"/>
        <v>802019</v>
      </c>
    </row>
  </sheetData>
  <mergeCells count="29">
    <mergeCell ref="BD1:BD3"/>
    <mergeCell ref="BE1:BE3"/>
    <mergeCell ref="A2:A3"/>
    <mergeCell ref="B2:B3"/>
    <mergeCell ref="AF2:AF3"/>
    <mergeCell ref="AX1:AX3"/>
    <mergeCell ref="AY1:AY3"/>
    <mergeCell ref="AZ1:AZ3"/>
    <mergeCell ref="BA1:BA3"/>
    <mergeCell ref="BB1:BB3"/>
    <mergeCell ref="BC1:BC3"/>
    <mergeCell ref="AR1:AR3"/>
    <mergeCell ref="AS1:AS3"/>
    <mergeCell ref="AT1:AT3"/>
    <mergeCell ref="AU1:AU3"/>
    <mergeCell ref="AV1:AV3"/>
    <mergeCell ref="AW1:AW3"/>
    <mergeCell ref="AL1:AL3"/>
    <mergeCell ref="AM1:AM3"/>
    <mergeCell ref="AN1:AN3"/>
    <mergeCell ref="AO1:AO3"/>
    <mergeCell ref="AP1:AP3"/>
    <mergeCell ref="AQ1:AQ3"/>
    <mergeCell ref="A1:AD1"/>
    <mergeCell ref="AG1:AG3"/>
    <mergeCell ref="AH1:AH3"/>
    <mergeCell ref="AI1:AI3"/>
    <mergeCell ref="AJ1:AJ3"/>
    <mergeCell ref="AK1:AK3"/>
  </mergeCells>
  <conditionalFormatting sqref="C4:AD56">
    <cfRule type="cellIs" dxfId="8" priority="4" operator="equal">
      <formula>"L"</formula>
    </cfRule>
    <cfRule type="cellIs" dxfId="7" priority="5" operator="equal">
      <formula>"PL"</formula>
    </cfRule>
    <cfRule type="cellIs" dxfId="6" priority="6" operator="equal">
      <formula>"PL"</formula>
    </cfRule>
  </conditionalFormatting>
  <conditionalFormatting sqref="C3:AE3">
    <cfRule type="cellIs" dxfId="5" priority="7" operator="equal">
      <formula>"Sun"</formula>
    </cfRule>
  </conditionalFormatting>
  <conditionalFormatting sqref="C4:AF56">
    <cfRule type="cellIs" dxfId="4" priority="8" operator="equal">
      <formula>"L"</formula>
    </cfRule>
    <cfRule type="cellIs" dxfId="3" priority="9" operator="equal">
      <formula>"H"</formula>
    </cfRule>
  </conditionalFormatting>
  <conditionalFormatting sqref="AG4:BE57">
    <cfRule type="cellIs" dxfId="2" priority="2" operator="between">
      <formula>1</formula>
      <formula>16500</formula>
    </cfRule>
    <cfRule type="cellIs" dxfId="1" priority="3" operator="greaterThan">
      <formula>16500</formula>
    </cfRule>
  </conditionalFormatting>
  <conditionalFormatting sqref="AG57:BE57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A6A21303188C4E93C6D8E6F92636AA" ma:contentTypeVersion="9" ma:contentTypeDescription="Create a new document." ma:contentTypeScope="" ma:versionID="0c71bdb98e1bf7a48309eaad0d2f558b">
  <xsd:schema xmlns:xsd="http://www.w3.org/2001/XMLSchema" xmlns:xs="http://www.w3.org/2001/XMLSchema" xmlns:p="http://schemas.microsoft.com/office/2006/metadata/properties" xmlns:ns3="1efa158c-8e45-488c-9b64-afa4a7c24f33" targetNamespace="http://schemas.microsoft.com/office/2006/metadata/properties" ma:root="true" ma:fieldsID="a814bc86c17b6b896fea45bafd4cd4cd" ns3:_="">
    <xsd:import namespace="1efa158c-8e45-488c-9b64-afa4a7c24f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a158c-8e45-488c-9b64-afa4a7c24f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77148A-F632-4F1D-AB49-C32B787292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fa158c-8e45-488c-9b64-afa4a7c24f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4CB75F-2D4D-4891-A6C1-52AD99341C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F0AB03-B3DC-4749-9D04-8F94C11362A7}">
  <ds:schemaRefs>
    <ds:schemaRef ds:uri="http://purl.org/dc/elements/1.1/"/>
    <ds:schemaRef ds:uri="http://purl.org/dc/dcmitype/"/>
    <ds:schemaRef ds:uri="http://schemas.microsoft.com/office/infopath/2007/PartnerControls"/>
    <ds:schemaRef ds:uri="1efa158c-8e45-488c-9b64-afa4a7c24f33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26109 CHOPADE ANAND GANESH</dc:creator>
  <cp:lastModifiedBy>26109 CHOPADE ANAND GANESH</cp:lastModifiedBy>
  <dcterms:created xsi:type="dcterms:W3CDTF">2026-04-02T18:35:46Z</dcterms:created>
  <dcterms:modified xsi:type="dcterms:W3CDTF">2026-04-02T18:36:31Z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0x0101009FA6A21303188C4E93C6D8E6F92636AA</vt:lpwstr>
  </property>
</Properties>
</file>