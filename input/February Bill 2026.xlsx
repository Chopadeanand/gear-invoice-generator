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Attendance\"/>
    </mc:Choice>
  </mc:AlternateContent>
  <xr:revisionPtr revIDLastSave="0" documentId="13_ncr:1_{AD460106-B20B-4955-94E9-C5671EFEABB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ttendance" sheetId="2" r:id="rId1"/>
    <sheet name="Pay" sheetId="1" r:id="rId2"/>
    <sheet name="Time Sheet" sheetId="16" r:id="rId3"/>
    <sheet name="Sheet2" sheetId="14" r:id="rId4"/>
    <sheet name="Sheet1" sheetId="13" state="hidden" r:id="rId5"/>
  </sheets>
  <definedNames>
    <definedName name="_xlnm._FilterDatabase" localSheetId="0" hidden="1">Attendance!$A$2:$AN$41</definedName>
    <definedName name="_xlnm._FilterDatabase" localSheetId="4" hidden="1">Sheet1!$H$2:$N$55</definedName>
    <definedName name="_xlnm._FilterDatabase" localSheetId="2" hidden="1">'Time Sheet'!$A$3:$BF$69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57" i="16" l="1"/>
  <c r="AW56" i="16"/>
  <c r="AE56" i="16"/>
  <c r="AL56" i="16" s="1"/>
  <c r="BE56" i="16" s="1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AF56" i="16" s="1"/>
  <c r="B56" i="16"/>
  <c r="AL55" i="16"/>
  <c r="AE55" i="16"/>
  <c r="AY55" i="16" s="1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AF55" i="16" s="1"/>
  <c r="B55" i="16"/>
  <c r="AN54" i="16"/>
  <c r="AN57" i="16" s="1"/>
  <c r="AL54" i="16"/>
  <c r="BE54" i="16" s="1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AF54" i="16" s="1"/>
  <c r="B54" i="16"/>
  <c r="AE53" i="16"/>
  <c r="AL53" i="16" s="1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AF53" i="16" s="1"/>
  <c r="F53" i="16"/>
  <c r="E53" i="16"/>
  <c r="D53" i="16"/>
  <c r="C53" i="16"/>
  <c r="B53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AF52" i="16" s="1"/>
  <c r="C52" i="16"/>
  <c r="B52" i="16"/>
  <c r="AE51" i="16"/>
  <c r="BD51" i="16" s="1"/>
  <c r="BE51" i="16" s="1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AF51" i="16" s="1"/>
  <c r="B51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AF50" i="16" s="1"/>
  <c r="B50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AF49" i="16" s="1"/>
  <c r="F49" i="16"/>
  <c r="E49" i="16"/>
  <c r="D49" i="16"/>
  <c r="C49" i="16"/>
  <c r="B49" i="16"/>
  <c r="AE48" i="16"/>
  <c r="AD48" i="16"/>
  <c r="AC48" i="16"/>
  <c r="AB48" i="16"/>
  <c r="AA48" i="16"/>
  <c r="Z48" i="16"/>
  <c r="Y48" i="16"/>
  <c r="X48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AF48" i="16" s="1"/>
  <c r="C48" i="16"/>
  <c r="B48" i="16"/>
  <c r="AE47" i="16"/>
  <c r="BD47" i="16" s="1"/>
  <c r="BE47" i="16" s="1"/>
  <c r="AD47" i="16"/>
  <c r="AC47" i="16"/>
  <c r="AB47" i="16"/>
  <c r="AA47" i="16"/>
  <c r="Z47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AF47" i="16" s="1"/>
  <c r="B47" i="16"/>
  <c r="BE46" i="16"/>
  <c r="AL46" i="16"/>
  <c r="AG46" i="16"/>
  <c r="AG57" i="16" s="1"/>
  <c r="AE46" i="16"/>
  <c r="AD46" i="16"/>
  <c r="AC46" i="16"/>
  <c r="AB46" i="16"/>
  <c r="AA46" i="16"/>
  <c r="Z46" i="16"/>
  <c r="Y46" i="16"/>
  <c r="X46" i="16"/>
  <c r="W46" i="16"/>
  <c r="V46" i="16"/>
  <c r="U46" i="16"/>
  <c r="T46" i="16"/>
  <c r="S46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AF46" i="16" s="1"/>
  <c r="B46" i="16"/>
  <c r="AF45" i="16"/>
  <c r="BD45" i="16" s="1"/>
  <c r="BE45" i="16" s="1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AF44" i="16" s="1"/>
  <c r="D44" i="16"/>
  <c r="C44" i="16"/>
  <c r="B44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AF43" i="16" s="1"/>
  <c r="B43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AF42" i="16" s="1"/>
  <c r="BD42" i="16" s="1"/>
  <c r="BE42" i="16" s="1"/>
  <c r="B42" i="16"/>
  <c r="AF41" i="16"/>
  <c r="BD41" i="16" s="1"/>
  <c r="BE41" i="16" s="1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AE40" i="16"/>
  <c r="BD40" i="16" s="1"/>
  <c r="BE40" i="16" s="1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AF40" i="16" s="1"/>
  <c r="D40" i="16"/>
  <c r="C40" i="16"/>
  <c r="B40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AF39" i="16" s="1"/>
  <c r="B39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AF38" i="16" s="1"/>
  <c r="BD38" i="16" s="1"/>
  <c r="BE38" i="16" s="1"/>
  <c r="B38" i="16"/>
  <c r="AS37" i="16"/>
  <c r="AS57" i="16" s="1"/>
  <c r="AQ37" i="16"/>
  <c r="AQ57" i="16" s="1"/>
  <c r="AE37" i="16"/>
  <c r="AD37" i="16"/>
  <c r="AC37" i="16"/>
  <c r="AB37" i="16"/>
  <c r="AA37" i="16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AF37" i="16" s="1"/>
  <c r="B37" i="16"/>
  <c r="AE36" i="16"/>
  <c r="AD36" i="16"/>
  <c r="AC36" i="16"/>
  <c r="AB36" i="16"/>
  <c r="AA36" i="16"/>
  <c r="Z36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AF36" i="16" s="1"/>
  <c r="E36" i="16"/>
  <c r="D36" i="16"/>
  <c r="C36" i="16"/>
  <c r="B36" i="16"/>
  <c r="AE35" i="16"/>
  <c r="AD35" i="16"/>
  <c r="AC35" i="16"/>
  <c r="AB35" i="16"/>
  <c r="AA35" i="16"/>
  <c r="Z35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AF35" i="16" s="1"/>
  <c r="B35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AF34" i="16" s="1"/>
  <c r="AJ34" i="16" s="1"/>
  <c r="BE34" i="16" s="1"/>
  <c r="B34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AF33" i="16" s="1"/>
  <c r="BD33" i="16" s="1"/>
  <c r="BE33" i="16" s="1"/>
  <c r="B33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AF32" i="16" s="1"/>
  <c r="E32" i="16"/>
  <c r="D32" i="16"/>
  <c r="C32" i="16"/>
  <c r="B32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AF31" i="16" s="1"/>
  <c r="B31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AF30" i="16" s="1"/>
  <c r="BD30" i="16" s="1"/>
  <c r="BE30" i="16" s="1"/>
  <c r="B30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AF29" i="16" s="1"/>
  <c r="AH29" i="16" s="1"/>
  <c r="B29" i="16"/>
  <c r="AE28" i="16"/>
  <c r="BA28" i="16" s="1"/>
  <c r="BA57" i="16" s="1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AF28" i="16" s="1"/>
  <c r="F28" i="16"/>
  <c r="E28" i="16"/>
  <c r="D28" i="16"/>
  <c r="C28" i="16"/>
  <c r="B28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AF27" i="16" s="1"/>
  <c r="C27" i="16"/>
  <c r="B27" i="16"/>
  <c r="AE26" i="16"/>
  <c r="AD26" i="16"/>
  <c r="AC26" i="16"/>
  <c r="AB26" i="16"/>
  <c r="AA26" i="16"/>
  <c r="Z26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AF26" i="16" s="1"/>
  <c r="B26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AF25" i="16" s="1"/>
  <c r="B25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AF24" i="16" s="1"/>
  <c r="F24" i="16"/>
  <c r="E24" i="16"/>
  <c r="D24" i="16"/>
  <c r="C24" i="16"/>
  <c r="B24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AF23" i="16" s="1"/>
  <c r="C23" i="16"/>
  <c r="B23" i="16"/>
  <c r="AE22" i="16"/>
  <c r="AO22" i="16" s="1"/>
  <c r="AO57" i="16" s="1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AF22" i="16" s="1"/>
  <c r="B22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AF21" i="16" s="1"/>
  <c r="AM21" i="16" s="1"/>
  <c r="B21" i="16"/>
  <c r="AF20" i="16"/>
  <c r="BD20" i="16" s="1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AF19" i="16" s="1"/>
  <c r="D19" i="16"/>
  <c r="C19" i="16"/>
  <c r="B19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AF18" i="16" s="1"/>
  <c r="B18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AF17" i="16" s="1"/>
  <c r="BC17" i="16" s="1"/>
  <c r="BE17" i="16" s="1"/>
  <c r="B17" i="16"/>
  <c r="AF16" i="16"/>
  <c r="BC16" i="16" s="1"/>
  <c r="BE16" i="16" s="1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AE15" i="16"/>
  <c r="AZ15" i="16" s="1"/>
  <c r="AZ57" i="16" s="1"/>
  <c r="AD15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AF15" i="16" s="1"/>
  <c r="E15" i="16"/>
  <c r="D15" i="16"/>
  <c r="C15" i="16"/>
  <c r="B15" i="16"/>
  <c r="AE14" i="16"/>
  <c r="AD14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AF14" i="16" s="1"/>
  <c r="B14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AF13" i="16" s="1"/>
  <c r="AK13" i="16" s="1"/>
  <c r="B13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AF12" i="16" s="1"/>
  <c r="BC12" i="16" s="1"/>
  <c r="BE12" i="16" s="1"/>
  <c r="B12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AF11" i="16" s="1"/>
  <c r="E11" i="16"/>
  <c r="D11" i="16"/>
  <c r="C11" i="16"/>
  <c r="B11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AF10" i="16" s="1"/>
  <c r="B10" i="16"/>
  <c r="AE9" i="16"/>
  <c r="AD9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F9" i="16" s="1"/>
  <c r="AU9" i="16" s="1"/>
  <c r="BE9" i="16" s="1"/>
  <c r="B9" i="16"/>
  <c r="AE8" i="16"/>
  <c r="AD8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AF8" i="16" s="1"/>
  <c r="AJ8" i="16" s="1"/>
  <c r="BE8" i="16" s="1"/>
  <c r="B8" i="16"/>
  <c r="AE7" i="16"/>
  <c r="AD7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AF7" i="16" s="1"/>
  <c r="E7" i="16"/>
  <c r="D7" i="16"/>
  <c r="C7" i="16"/>
  <c r="B7" i="16"/>
  <c r="AE6" i="16"/>
  <c r="AI6" i="16" s="1"/>
  <c r="AD6" i="16"/>
  <c r="AC6" i="16"/>
  <c r="AB6" i="16"/>
  <c r="AA6" i="16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AF6" i="16" s="1"/>
  <c r="C6" i="16"/>
  <c r="B6" i="16"/>
  <c r="AE5" i="16"/>
  <c r="BC5" i="16" s="1"/>
  <c r="AD5" i="16"/>
  <c r="AC5" i="16"/>
  <c r="AB5" i="16"/>
  <c r="AA5" i="16"/>
  <c r="Z5" i="16"/>
  <c r="Y5" i="16"/>
  <c r="X5" i="16"/>
  <c r="W5" i="16"/>
  <c r="V5" i="16"/>
  <c r="U5" i="16"/>
  <c r="T5" i="16"/>
  <c r="S5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C5" i="16"/>
  <c r="AF5" i="16" s="1"/>
  <c r="B5" i="16"/>
  <c r="AE4" i="16"/>
  <c r="AD4" i="16"/>
  <c r="AC4" i="16"/>
  <c r="AB4" i="16"/>
  <c r="AA4" i="16"/>
  <c r="Z4" i="16"/>
  <c r="Y4" i="16"/>
  <c r="X4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F4" i="16"/>
  <c r="E4" i="16"/>
  <c r="D4" i="16"/>
  <c r="C4" i="16"/>
  <c r="AF4" i="16" s="1"/>
  <c r="B4" i="16"/>
  <c r="AD3" i="16"/>
  <c r="AC3" i="16"/>
  <c r="AB3" i="16"/>
  <c r="AA3" i="16"/>
  <c r="R3" i="16"/>
  <c r="Q3" i="16"/>
  <c r="P3" i="16"/>
  <c r="O3" i="16"/>
  <c r="F3" i="16"/>
  <c r="E3" i="16"/>
  <c r="D3" i="16"/>
  <c r="C3" i="16"/>
  <c r="AD2" i="16"/>
  <c r="AC2" i="16"/>
  <c r="AB2" i="16"/>
  <c r="AA2" i="16"/>
  <c r="Z2" i="16"/>
  <c r="Z3" i="16" s="1"/>
  <c r="Y2" i="16"/>
  <c r="Y3" i="16" s="1"/>
  <c r="X2" i="16"/>
  <c r="X3" i="16" s="1"/>
  <c r="W2" i="16"/>
  <c r="W3" i="16" s="1"/>
  <c r="V2" i="16"/>
  <c r="V3" i="16" s="1"/>
  <c r="U2" i="16"/>
  <c r="U3" i="16" s="1"/>
  <c r="T2" i="16"/>
  <c r="T3" i="16" s="1"/>
  <c r="S2" i="16"/>
  <c r="S3" i="16" s="1"/>
  <c r="R2" i="16"/>
  <c r="Q2" i="16"/>
  <c r="P2" i="16"/>
  <c r="O2" i="16"/>
  <c r="N2" i="16"/>
  <c r="N3" i="16" s="1"/>
  <c r="M2" i="16"/>
  <c r="M3" i="16" s="1"/>
  <c r="L2" i="16"/>
  <c r="L3" i="16" s="1"/>
  <c r="K2" i="16"/>
  <c r="K3" i="16" s="1"/>
  <c r="J2" i="16"/>
  <c r="J3" i="16" s="1"/>
  <c r="I2" i="16"/>
  <c r="I3" i="16" s="1"/>
  <c r="H2" i="16"/>
  <c r="H3" i="16" s="1"/>
  <c r="G2" i="16"/>
  <c r="G3" i="16" s="1"/>
  <c r="F2" i="16"/>
  <c r="E2" i="16"/>
  <c r="D2" i="16"/>
  <c r="C2" i="16"/>
  <c r="G5" i="14"/>
  <c r="BE5" i="16" l="1"/>
  <c r="BD50" i="16"/>
  <c r="BE50" i="16" s="1"/>
  <c r="BD52" i="16"/>
  <c r="BE52" i="16" s="1"/>
  <c r="BD39" i="16"/>
  <c r="BE39" i="16" s="1"/>
  <c r="BD43" i="16"/>
  <c r="BE43" i="16" s="1"/>
  <c r="BD49" i="16"/>
  <c r="BE49" i="16" s="1"/>
  <c r="BE53" i="16"/>
  <c r="BD44" i="16"/>
  <c r="BE44" i="16" s="1"/>
  <c r="BE55" i="16"/>
  <c r="AY57" i="16"/>
  <c r="BD23" i="16"/>
  <c r="BE23" i="16" s="1"/>
  <c r="AJ4" i="16"/>
  <c r="AI57" i="16"/>
  <c r="BC10" i="16"/>
  <c r="BE10" i="16" s="1"/>
  <c r="BB14" i="16"/>
  <c r="AH57" i="16"/>
  <c r="BE29" i="16"/>
  <c r="AU7" i="16"/>
  <c r="AP11" i="16"/>
  <c r="BD27" i="16"/>
  <c r="BE27" i="16" s="1"/>
  <c r="BC18" i="16"/>
  <c r="BE18" i="16" s="1"/>
  <c r="BE21" i="16"/>
  <c r="AM57" i="16"/>
  <c r="BC19" i="16"/>
  <c r="BE19" i="16" s="1"/>
  <c r="BD25" i="16"/>
  <c r="BE25" i="16" s="1"/>
  <c r="BD31" i="16"/>
  <c r="BE31" i="16" s="1"/>
  <c r="BD35" i="16"/>
  <c r="BE35" i="16" s="1"/>
  <c r="BD48" i="16"/>
  <c r="BE48" i="16" s="1"/>
  <c r="BE13" i="16"/>
  <c r="AK57" i="16"/>
  <c r="BE20" i="16"/>
  <c r="BC24" i="16"/>
  <c r="BE24" i="16" s="1"/>
  <c r="BD26" i="16"/>
  <c r="BE26" i="16" s="1"/>
  <c r="BD32" i="16"/>
  <c r="BE32" i="16" s="1"/>
  <c r="BD36" i="16"/>
  <c r="BE36" i="16" s="1"/>
  <c r="AV53" i="16"/>
  <c r="AV57" i="16" s="1"/>
  <c r="AL22" i="16"/>
  <c r="BE37" i="16"/>
  <c r="AT6" i="16"/>
  <c r="AT57" i="16" s="1"/>
  <c r="AX28" i="16"/>
  <c r="AR15" i="16"/>
  <c r="H3" i="14"/>
  <c r="AP57" i="16" l="1"/>
  <c r="BE11" i="16"/>
  <c r="BB57" i="16"/>
  <c r="BE14" i="16"/>
  <c r="BE22" i="16"/>
  <c r="AL57" i="16"/>
  <c r="BD57" i="16"/>
  <c r="AR57" i="16"/>
  <c r="BE15" i="16"/>
  <c r="BE7" i="16"/>
  <c r="AU57" i="16"/>
  <c r="AX57" i="16"/>
  <c r="BE28" i="16"/>
  <c r="BE6" i="16"/>
  <c r="BE4" i="16"/>
  <c r="AJ57" i="16"/>
  <c r="BC57" i="16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3" i="14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F6" i="1"/>
  <c r="E6" i="1"/>
  <c r="AE5" i="2"/>
  <c r="AF5" i="2"/>
  <c r="AG5" i="2"/>
  <c r="AH5" i="2"/>
  <c r="AE6" i="2"/>
  <c r="AF6" i="2"/>
  <c r="AH6" i="2" s="1"/>
  <c r="AG6" i="2"/>
  <c r="AE7" i="2"/>
  <c r="AF7" i="2"/>
  <c r="AH7" i="2" s="1"/>
  <c r="AG7" i="2"/>
  <c r="AE8" i="2"/>
  <c r="AF8" i="2"/>
  <c r="AG8" i="2"/>
  <c r="AH8" i="2"/>
  <c r="AE9" i="2"/>
  <c r="AF9" i="2"/>
  <c r="AH9" i="2" s="1"/>
  <c r="AG9" i="2"/>
  <c r="AE10" i="2"/>
  <c r="AF10" i="2"/>
  <c r="AH10" i="2" s="1"/>
  <c r="AG10" i="2"/>
  <c r="AE11" i="2"/>
  <c r="AF11" i="2"/>
  <c r="AG11" i="2"/>
  <c r="AH11" i="2"/>
  <c r="AE12" i="2"/>
  <c r="AF12" i="2"/>
  <c r="AH12" i="2" s="1"/>
  <c r="AG12" i="2"/>
  <c r="AE13" i="2"/>
  <c r="AF13" i="2"/>
  <c r="AH13" i="2" s="1"/>
  <c r="AG13" i="2"/>
  <c r="AE14" i="2"/>
  <c r="AF14" i="2"/>
  <c r="AG14" i="2"/>
  <c r="AH14" i="2"/>
  <c r="AE15" i="2"/>
  <c r="AF15" i="2"/>
  <c r="AH15" i="2" s="1"/>
  <c r="AG15" i="2"/>
  <c r="AE16" i="2"/>
  <c r="AF16" i="2"/>
  <c r="AH16" i="2" s="1"/>
  <c r="AG16" i="2"/>
  <c r="AE17" i="2"/>
  <c r="AF17" i="2"/>
  <c r="AG17" i="2"/>
  <c r="AH17" i="2"/>
  <c r="AE18" i="2"/>
  <c r="AF18" i="2"/>
  <c r="AH18" i="2" s="1"/>
  <c r="AG18" i="2"/>
  <c r="AE19" i="2"/>
  <c r="AF19" i="2"/>
  <c r="AH19" i="2" s="1"/>
  <c r="AG19" i="2"/>
  <c r="AE20" i="2"/>
  <c r="AF20" i="2"/>
  <c r="AG20" i="2"/>
  <c r="AH20" i="2"/>
  <c r="AE21" i="2"/>
  <c r="AF21" i="2"/>
  <c r="AH21" i="2" s="1"/>
  <c r="AG21" i="2"/>
  <c r="AE22" i="2"/>
  <c r="AF22" i="2"/>
  <c r="AH22" i="2" s="1"/>
  <c r="AG22" i="2"/>
  <c r="AE23" i="2"/>
  <c r="AF23" i="2"/>
  <c r="AG23" i="2"/>
  <c r="AH23" i="2"/>
  <c r="AE24" i="2"/>
  <c r="AF24" i="2"/>
  <c r="AH24" i="2" s="1"/>
  <c r="AG24" i="2"/>
  <c r="AE25" i="2"/>
  <c r="AF25" i="2"/>
  <c r="AH25" i="2" s="1"/>
  <c r="AG25" i="2"/>
  <c r="AE26" i="2"/>
  <c r="AF26" i="2"/>
  <c r="AG26" i="2"/>
  <c r="AH26" i="2"/>
  <c r="AE27" i="2"/>
  <c r="AF27" i="2"/>
  <c r="AH27" i="2" s="1"/>
  <c r="AG27" i="2"/>
  <c r="AE28" i="2"/>
  <c r="AF28" i="2"/>
  <c r="AH28" i="2" s="1"/>
  <c r="AG28" i="2"/>
  <c r="AE29" i="2"/>
  <c r="AF29" i="2"/>
  <c r="AG29" i="2"/>
  <c r="AH29" i="2"/>
  <c r="AE30" i="2"/>
  <c r="AF30" i="2"/>
  <c r="AH30" i="2" s="1"/>
  <c r="AG30" i="2"/>
  <c r="AE31" i="2"/>
  <c r="AF31" i="2"/>
  <c r="AH31" i="2" s="1"/>
  <c r="AG31" i="2"/>
  <c r="AE32" i="2"/>
  <c r="AF32" i="2"/>
  <c r="AG32" i="2"/>
  <c r="AH32" i="2"/>
  <c r="AE33" i="2"/>
  <c r="AF33" i="2"/>
  <c r="AH33" i="2" s="1"/>
  <c r="AG33" i="2"/>
  <c r="AE34" i="2"/>
  <c r="AF34" i="2"/>
  <c r="AH34" i="2" s="1"/>
  <c r="AG34" i="2"/>
  <c r="AE35" i="2"/>
  <c r="AF35" i="2"/>
  <c r="AG35" i="2"/>
  <c r="AH35" i="2"/>
  <c r="AE36" i="2"/>
  <c r="AF36" i="2"/>
  <c r="AH36" i="2" s="1"/>
  <c r="AG36" i="2"/>
  <c r="AE37" i="2"/>
  <c r="AF37" i="2"/>
  <c r="AH37" i="2" s="1"/>
  <c r="AG37" i="2"/>
  <c r="AE38" i="2"/>
  <c r="AF38" i="2"/>
  <c r="AG38" i="2"/>
  <c r="AH38" i="2"/>
  <c r="AE39" i="2"/>
  <c r="AF39" i="2"/>
  <c r="AH39" i="2" s="1"/>
  <c r="AG39" i="2"/>
  <c r="AE40" i="2"/>
  <c r="AF40" i="2"/>
  <c r="AH40" i="2" s="1"/>
  <c r="AG40" i="2"/>
  <c r="AE41" i="2"/>
  <c r="AF41" i="2"/>
  <c r="AG41" i="2"/>
  <c r="AH41" i="2"/>
  <c r="AE42" i="2"/>
  <c r="AF42" i="2"/>
  <c r="AH42" i="2" s="1"/>
  <c r="AG42" i="2"/>
  <c r="AE43" i="2"/>
  <c r="AF43" i="2"/>
  <c r="AH43" i="2" s="1"/>
  <c r="AG43" i="2"/>
  <c r="AE44" i="2"/>
  <c r="AF44" i="2"/>
  <c r="AG44" i="2"/>
  <c r="AH44" i="2"/>
  <c r="AE45" i="2"/>
  <c r="AF45" i="2"/>
  <c r="AH45" i="2" s="1"/>
  <c r="AG45" i="2"/>
  <c r="AE46" i="2"/>
  <c r="AF46" i="2"/>
  <c r="AH46" i="2" s="1"/>
  <c r="AG46" i="2"/>
  <c r="AE47" i="2"/>
  <c r="AF47" i="2"/>
  <c r="AG47" i="2"/>
  <c r="AH47" i="2"/>
  <c r="AE48" i="2"/>
  <c r="AF48" i="2"/>
  <c r="AH48" i="2" s="1"/>
  <c r="AG48" i="2"/>
  <c r="AE49" i="2"/>
  <c r="AF49" i="2"/>
  <c r="AH49" i="2" s="1"/>
  <c r="AG49" i="2"/>
  <c r="AE50" i="2"/>
  <c r="AF50" i="2"/>
  <c r="AG50" i="2"/>
  <c r="AH50" i="2"/>
  <c r="AE51" i="2"/>
  <c r="AF51" i="2"/>
  <c r="AH51" i="2" s="1"/>
  <c r="AG51" i="2"/>
  <c r="AE52" i="2"/>
  <c r="AF52" i="2"/>
  <c r="AH52" i="2" s="1"/>
  <c r="AG52" i="2"/>
  <c r="AE53" i="2"/>
  <c r="AF53" i="2"/>
  <c r="AG53" i="2"/>
  <c r="AH53" i="2"/>
  <c r="AE54" i="2"/>
  <c r="AF54" i="2"/>
  <c r="AH54" i="2" s="1"/>
  <c r="AG54" i="2"/>
  <c r="AE55" i="2"/>
  <c r="AF55" i="2"/>
  <c r="AH55" i="2" s="1"/>
  <c r="AG55" i="2"/>
  <c r="AE56" i="2"/>
  <c r="AF56" i="2"/>
  <c r="AG56" i="2"/>
  <c r="AH56" i="2"/>
  <c r="AG4" i="2"/>
  <c r="AF4" i="2"/>
  <c r="AE4" i="2"/>
  <c r="BE57" i="16" l="1"/>
  <c r="G12" i="13"/>
  <c r="G11" i="13"/>
  <c r="G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3" i="13"/>
  <c r="AH4" i="2" l="1"/>
  <c r="AI56" i="2" l="1"/>
  <c r="AI10" i="2"/>
  <c r="AI22" i="2"/>
  <c r="AI34" i="2"/>
  <c r="AI46" i="2"/>
  <c r="AI23" i="2"/>
  <c r="AI35" i="2"/>
  <c r="AI11" i="2"/>
  <c r="AI47" i="2"/>
  <c r="AI12" i="2"/>
  <c r="AI24" i="2"/>
  <c r="AI36" i="2"/>
  <c r="AI48" i="2"/>
  <c r="AI13" i="2"/>
  <c r="AI25" i="2"/>
  <c r="AI37" i="2"/>
  <c r="AI49" i="2"/>
  <c r="AI38" i="2"/>
  <c r="AI27" i="2"/>
  <c r="AI39" i="2"/>
  <c r="AI5" i="2"/>
  <c r="AI52" i="2"/>
  <c r="AI6" i="2"/>
  <c r="AI41" i="2"/>
  <c r="AI30" i="2"/>
  <c r="AI31" i="2"/>
  <c r="AI20" i="2"/>
  <c r="AI44" i="2"/>
  <c r="AI21" i="2"/>
  <c r="AI14" i="2"/>
  <c r="AI26" i="2"/>
  <c r="AI50" i="2"/>
  <c r="AI15" i="2"/>
  <c r="AI51" i="2"/>
  <c r="AI28" i="2"/>
  <c r="AI29" i="2"/>
  <c r="AI18" i="2"/>
  <c r="AI19" i="2"/>
  <c r="AI55" i="2"/>
  <c r="AI32" i="2"/>
  <c r="AI40" i="2"/>
  <c r="AI17" i="2"/>
  <c r="AI43" i="2"/>
  <c r="AI8" i="2"/>
  <c r="AI33" i="2"/>
  <c r="AI16" i="2"/>
  <c r="AI53" i="2"/>
  <c r="AI54" i="2"/>
  <c r="AI7" i="2"/>
  <c r="AI9" i="2"/>
  <c r="AI42" i="2"/>
  <c r="AI45" i="2"/>
  <c r="AI4" i="2"/>
  <c r="D2" i="2" l="1"/>
  <c r="G59" i="1" l="1"/>
  <c r="E2" i="2"/>
  <c r="F2" i="2" l="1"/>
  <c r="C3" i="2"/>
  <c r="D3" i="2"/>
  <c r="E3" i="2"/>
  <c r="G2" i="2" l="1"/>
  <c r="G3" i="2" s="1"/>
  <c r="F3" i="2"/>
  <c r="H2" i="2" l="1"/>
  <c r="H3" i="2" l="1"/>
  <c r="I2" i="2"/>
  <c r="I3" i="2" l="1"/>
  <c r="J2" i="2"/>
  <c r="J3" i="2" l="1"/>
  <c r="K2" i="2"/>
  <c r="L2" i="2" l="1"/>
  <c r="K3" i="2"/>
  <c r="L3" i="2" l="1"/>
  <c r="M2" i="2"/>
  <c r="M3" i="2" l="1"/>
  <c r="N2" i="2"/>
  <c r="N3" i="2" l="1"/>
  <c r="O2" i="2"/>
  <c r="O3" i="2" l="1"/>
  <c r="P2" i="2"/>
  <c r="P3" i="2" l="1"/>
  <c r="Q2" i="2"/>
  <c r="Q3" i="2" l="1"/>
  <c r="R2" i="2"/>
  <c r="R3" i="2" l="1"/>
  <c r="S2" i="2"/>
  <c r="T2" i="2" l="1"/>
  <c r="S3" i="2"/>
  <c r="T3" i="2" l="1"/>
  <c r="U2" i="2"/>
  <c r="V2" i="2" l="1"/>
  <c r="U3" i="2"/>
  <c r="V3" i="2" l="1"/>
  <c r="W2" i="2"/>
  <c r="W3" i="2" l="1"/>
  <c r="X2" i="2"/>
  <c r="X3" i="2" l="1"/>
  <c r="Y2" i="2"/>
  <c r="Y3" i="2" l="1"/>
  <c r="Z2" i="2"/>
  <c r="Z3" i="2" l="1"/>
  <c r="AA2" i="2"/>
  <c r="AA3" i="2" l="1"/>
  <c r="AB2" i="2"/>
  <c r="AB3" i="2" l="1"/>
  <c r="AC2" i="2"/>
  <c r="AC3" i="2" l="1"/>
  <c r="AD2" i="2"/>
  <c r="AD3" i="2" l="1"/>
</calcChain>
</file>

<file path=xl/sharedStrings.xml><?xml version="1.0" encoding="utf-8"?>
<sst xmlns="http://schemas.openxmlformats.org/spreadsheetml/2006/main" count="1877" uniqueCount="132">
  <si>
    <t>S.No</t>
  </si>
  <si>
    <t>NAME</t>
  </si>
  <si>
    <t>Kanche Srisailam</t>
  </si>
  <si>
    <t>Kasireddy Harish</t>
  </si>
  <si>
    <t>TOTAL</t>
  </si>
  <si>
    <t>Present</t>
  </si>
  <si>
    <t>Pay</t>
  </si>
  <si>
    <t>Md Mainoddin</t>
  </si>
  <si>
    <t>Mohammed Yaqoob khan</t>
  </si>
  <si>
    <t>Shivarathri Swapna</t>
  </si>
  <si>
    <t>Tandra Sabastin</t>
  </si>
  <si>
    <t>Kunduru Upender Reddy</t>
  </si>
  <si>
    <t>Bonagiri Rehana</t>
  </si>
  <si>
    <t>Leave</t>
  </si>
  <si>
    <t>H</t>
  </si>
  <si>
    <t>Total</t>
  </si>
  <si>
    <t>P</t>
  </si>
  <si>
    <t>L</t>
  </si>
  <si>
    <t>Holiday</t>
  </si>
  <si>
    <t>Payment</t>
  </si>
  <si>
    <t>PAY</t>
  </si>
  <si>
    <t>Bollapelly Sowmya</t>
  </si>
  <si>
    <t>Arundathi Jalagam</t>
  </si>
  <si>
    <t>Katravath Mohan Rathod</t>
  </si>
  <si>
    <t>Ushanula Ramya</t>
  </si>
  <si>
    <t>Mudavath Kiran</t>
  </si>
  <si>
    <t>Katravath Mangesh</t>
  </si>
  <si>
    <t>M Sunitha</t>
  </si>
  <si>
    <t>Kolla Sudhakar</t>
  </si>
  <si>
    <t>Mohammad Naziya</t>
  </si>
  <si>
    <t>Mamidi Raj kumar</t>
  </si>
  <si>
    <t>GAPEL-SSA-TAR-ATA-HIRATE-MC-200</t>
  </si>
  <si>
    <t>JMTL-SSA-TAR-ATA-HIRATE-MC-194</t>
  </si>
  <si>
    <t>DATL-SSA-TAR-ATA-HIRATE-MC-198</t>
  </si>
  <si>
    <t>Name</t>
  </si>
  <si>
    <t>APEL-SSA-TAR-ATA-HIRATE-MC-199</t>
  </si>
  <si>
    <t>BFHL-SSA-TAR-ATA-HIRATE-MC-210</t>
  </si>
  <si>
    <t>BWHPL-SSA-TAR-ATA-HIRATE-MC-340</t>
  </si>
  <si>
    <t>FRHL-SSA-TAR-ATA-HIRATE-MC-197</t>
  </si>
  <si>
    <t>KETL-SSA-TAR-ATA-HIRATE-MC-196</t>
  </si>
  <si>
    <t>KMTL-SSA-TAR-ATA-HIRATE-MC-195</t>
  </si>
  <si>
    <t>KTIPL-SSA-TAR-ATA-HIRATE-MC-348</t>
  </si>
  <si>
    <t>MBEL-SSA-TAR-ATA-HIRATE-MC-192</t>
  </si>
  <si>
    <t>MHPL-SSA-TAR-ATA-HIRATE-MC-346</t>
  </si>
  <si>
    <t>MKTL-SSA-TAR-ATA-HIRATE-MC-191</t>
  </si>
  <si>
    <t>MSHPL-SSA-TAR-ATA-HIRATE-MC-343</t>
  </si>
  <si>
    <t>NDEPL-SSA-TAR-ATA-HIRATE-MC-190</t>
  </si>
  <si>
    <t>NKTL-SSA-TAR-ATA-HIRATE-MC-189</t>
  </si>
  <si>
    <t>SIPL-SSA-TAR-ATA-HIRATE-MC-350</t>
  </si>
  <si>
    <t>SMTL-SSA-TAR-ATA-HIRATE-MC-188</t>
  </si>
  <si>
    <t>SPPL-SSA-TAR-ATA-HIRATE-MC-352</t>
  </si>
  <si>
    <t>WVEPL-SSA-TAR-ATA-HIRATE-MC-193</t>
  </si>
  <si>
    <t>M jathin sai</t>
  </si>
  <si>
    <t>Ramavath Saimahesh Nayak</t>
  </si>
  <si>
    <t>Thurpati vijay Bhaskar</t>
  </si>
  <si>
    <t>Dhenumakonda Lavanya</t>
  </si>
  <si>
    <t>Katravath Radhika</t>
  </si>
  <si>
    <t>Poojari Ramu</t>
  </si>
  <si>
    <t>Porandla Chandar</t>
  </si>
  <si>
    <t>Shaikh abdul Avesh</t>
  </si>
  <si>
    <t>Thatipally Manoj Kumar</t>
  </si>
  <si>
    <t>Deshapaga Raghavendar</t>
  </si>
  <si>
    <t>Gudise Hemanth Kumar</t>
  </si>
  <si>
    <t>Pandiri Punith kumar</t>
  </si>
  <si>
    <t>Kodavath Swamy</t>
  </si>
  <si>
    <t>Mudavath Balakoti</t>
  </si>
  <si>
    <t>Mudavath Ramesh</t>
  </si>
  <si>
    <t>Ramavath Uma Mahesh</t>
  </si>
  <si>
    <t>Mekala Anusha</t>
  </si>
  <si>
    <t>WUPTL-SSA-TAR-ATA-HIRATE-MC-187</t>
  </si>
  <si>
    <t>Gopala Saritha</t>
  </si>
  <si>
    <t>Gaja Balanarayana</t>
  </si>
  <si>
    <t>Neeli Srivani</t>
  </si>
  <si>
    <t>Project</t>
  </si>
  <si>
    <t>HiRATE</t>
  </si>
  <si>
    <t>E-Nexco</t>
  </si>
  <si>
    <t>TRaNAC</t>
  </si>
  <si>
    <t>GAEPL</t>
  </si>
  <si>
    <t>KMTPL</t>
  </si>
  <si>
    <t>FRHL</t>
  </si>
  <si>
    <t>MHPL</t>
  </si>
  <si>
    <t>SPPL</t>
  </si>
  <si>
    <t>MSHP</t>
  </si>
  <si>
    <t>BWHPL</t>
  </si>
  <si>
    <t>APEL</t>
  </si>
  <si>
    <t>KTIPL</t>
  </si>
  <si>
    <t>NDEPL</t>
  </si>
  <si>
    <t>SIPL</t>
  </si>
  <si>
    <t>WVEL</t>
  </si>
  <si>
    <t>MKTL</t>
  </si>
  <si>
    <t>KETPL</t>
  </si>
  <si>
    <t>SMTPL</t>
  </si>
  <si>
    <t>NKTPL</t>
  </si>
  <si>
    <t>JMTPL</t>
  </si>
  <si>
    <t>DATL</t>
  </si>
  <si>
    <t>BFHL</t>
  </si>
  <si>
    <t>NAM</t>
  </si>
  <si>
    <t>MBEL</t>
  </si>
  <si>
    <t>WUPTL</t>
  </si>
  <si>
    <t>Total Hrs - JUNE 2024</t>
  </si>
  <si>
    <t>K Thirupathaiah</t>
  </si>
  <si>
    <t>Diravath Mounika</t>
  </si>
  <si>
    <t>Jetti Hima Sindhu</t>
  </si>
  <si>
    <t>p</t>
  </si>
  <si>
    <t>Chouta Keerthana</t>
  </si>
  <si>
    <t>M Swarupa</t>
  </si>
  <si>
    <t>Thabasum Afreen</t>
  </si>
  <si>
    <t>NAMEL-SSA-TAR-ATA-HIRATE-MC-400</t>
  </si>
  <si>
    <t>Anand Ganesh Chopade</t>
  </si>
  <si>
    <t>Ahmed Azam</t>
  </si>
  <si>
    <t>Mohammad Shaheen Begum</t>
  </si>
  <si>
    <t>Kasturi Sathish</t>
  </si>
  <si>
    <t>Gaja Shruthi</t>
  </si>
  <si>
    <t>Sadde Sindhura</t>
  </si>
  <si>
    <t>Ushanolla Ravali</t>
  </si>
  <si>
    <t>Padira Radhika</t>
  </si>
  <si>
    <t>-</t>
  </si>
  <si>
    <t>Total Hrs - December 2025</t>
  </si>
  <si>
    <t>Lightstorm</t>
  </si>
  <si>
    <t>1500/OT1/AT/LSTR/001/001</t>
  </si>
  <si>
    <t>LIGHTSTORM-SSA-ATMS-INST-LGS-01-MC-472</t>
  </si>
  <si>
    <t>M.Esther Rani</t>
  </si>
  <si>
    <t>M.Esthar Rani</t>
  </si>
  <si>
    <t>Ranabotu Saidi Reddy</t>
  </si>
  <si>
    <t>ATTENDANCE SHEET FEBRUARY 2026</t>
  </si>
  <si>
    <t>FEBRUARY 2026 PAYMENT</t>
  </si>
  <si>
    <t>TIME SHEET FEBRUARY 2026</t>
  </si>
  <si>
    <t>Chejerla Nagavamsidhar Reddy</t>
  </si>
  <si>
    <t>Total Hrs - February  2025</t>
  </si>
  <si>
    <t>CVI-TRAI-T&amp;T-M&amp;A_TDD-TOT-1-MC-485</t>
  </si>
  <si>
    <t xml:space="preserve">TOT-1 Tranac WBS </t>
  </si>
  <si>
    <t>FRHL-SSA-TAR-ASA-E. NSV ANALYSIS-MC-147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</si>
</sst>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Perpetua"/>
      <family val="1"/>
    </font>
    <font>
      <b/>
      <sz val="11"/>
      <color theme="1"/>
      <name val="Perpetua"/>
      <family val="1"/>
    </font>
    <font>
      <b/>
      <i/>
      <sz val="11"/>
      <color rgb="FF0000FF"/>
      <name val="Perpetua"/>
      <family val="1"/>
    </font>
    <font>
      <b/>
      <sz val="11"/>
      <color rgb="FFFF0000"/>
      <name val="Perpetua"/>
      <family val="1"/>
    </font>
    <font>
      <sz val="12"/>
      <color theme="1"/>
      <name val="Perpetua"/>
      <family val="1"/>
    </font>
    <font>
      <sz val="8"/>
      <name val="Calibri"/>
      <family val="2"/>
      <scheme val="minor"/>
    </font>
    <font>
      <sz val="11"/>
      <color rgb="FF1F1F1F"/>
      <name val="Perpetua"/>
      <family val="1"/>
    </font>
    <font>
      <b/>
      <sz val="14"/>
      <color theme="1"/>
      <name val="Perpetua"/>
      <family val="1"/>
    </font>
    <font>
      <b/>
      <sz val="11"/>
      <color rgb="FF1F1F1F"/>
      <name val="Perpetua"/>
      <family val="1"/>
    </font>
    <font>
      <i/>
      <sz val="11"/>
      <color rgb="FF0000FF"/>
      <name val="Perpetua"/>
      <family val="1"/>
    </font>
    <font>
      <sz val="11"/>
      <color rgb="FFFF0000"/>
      <name val="Perpetua"/>
      <family val="1"/>
    </font>
    <font>
      <sz val="14"/>
      <color rgb="FFFF0000"/>
      <name val="Perpetua"/>
      <family val="1"/>
    </font>
    <font>
      <b/>
      <sz val="12"/>
      <color theme="1"/>
      <name val="Perpetua"/>
      <family val="1"/>
    </font>
    <font>
      <b/>
      <sz val="16"/>
      <color theme="1"/>
      <name val="Perpetua"/>
      <family val="1"/>
    </font>
    <font>
      <b/>
      <sz val="14"/>
      <color rgb="FFFF0000"/>
      <name val="Perpetua"/>
      <family val="1"/>
    </font>
    <font>
      <b/>
      <sz val="12"/>
      <color rgb="FFC00000"/>
      <name val="Perpetua"/>
      <family val="1"/>
    </font>
    <font>
      <sz val="10"/>
      <color rgb="FF000000"/>
      <name val="Perpetua"/>
      <family val="1"/>
    </font>
    <font>
      <sz val="11"/>
      <color rgb="FF000000"/>
      <name val="Perpetua"/>
      <family val="1"/>
    </font>
    <font>
      <sz val="12"/>
      <color rgb="FF000000"/>
      <name val="Aptos"/>
      <family val="2"/>
    </font>
    <font>
      <b/>
      <sz val="11"/>
      <color rgb="FF000000"/>
      <name val="Perpetua"/>
      <family val="1"/>
    </font>
    <font>
      <sz val="10"/>
      <color theme="1"/>
      <name val="Perpetua"/>
      <family val="1"/>
    </font>
    <font>
      <sz val="10"/>
      <color rgb="FF1F1F1F"/>
      <name val="Perpetua"/>
      <family val="1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164" fontId="2" fillId="3" borderId="11" xfId="0" applyNumberFormat="1" applyFont="1" applyFill="1" applyBorder="1"/>
    <xf numFmtId="164" fontId="2" fillId="3" borderId="4" xfId="0" applyNumberFormat="1" applyFont="1" applyFill="1" applyBorder="1" applyAlignment="1">
      <alignment horizontal="center" vertical="center"/>
    </xf>
    <xf numFmtId="0" fontId="2" fillId="0" borderId="0" xfId="0" applyFont="1"/>
    <xf numFmtId="0" fontId="5" fillId="0" borderId="4" xfId="0" applyFont="1" applyBorder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164" fontId="2" fillId="3" borderId="0" xfId="0" applyNumberFormat="1" applyFont="1" applyFill="1"/>
    <xf numFmtId="164" fontId="2" fillId="3" borderId="2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top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1" fontId="1" fillId="0" borderId="0" xfId="0" applyNumberFormat="1" applyFont="1"/>
    <xf numFmtId="0" fontId="13" fillId="2" borderId="22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/>
    </xf>
    <xf numFmtId="0" fontId="1" fillId="0" borderId="22" xfId="0" applyFont="1" applyBorder="1"/>
    <xf numFmtId="0" fontId="1" fillId="0" borderId="9" xfId="0" applyFont="1" applyBorder="1" applyAlignment="1">
      <alignment horizontal="center" wrapText="1"/>
    </xf>
    <xf numFmtId="0" fontId="9" fillId="0" borderId="7" xfId="0" applyFont="1" applyBorder="1" applyAlignment="1">
      <alignment wrapText="1"/>
    </xf>
    <xf numFmtId="0" fontId="7" fillId="0" borderId="7" xfId="0" applyFont="1" applyBorder="1" applyAlignment="1">
      <alignment horizontal="center" vertical="top" wrapText="1"/>
    </xf>
    <xf numFmtId="1" fontId="1" fillId="0" borderId="4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3" fontId="19" fillId="0" borderId="0" xfId="0" applyNumberFormat="1" applyFont="1"/>
    <xf numFmtId="0" fontId="18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18" fillId="0" borderId="0" xfId="0" applyFont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7" fillId="4" borderId="24" xfId="0" applyFont="1" applyFill="1" applyBorder="1" applyAlignment="1">
      <alignment horizontal="center" vertical="center" wrapText="1"/>
    </xf>
    <xf numFmtId="0" fontId="18" fillId="4" borderId="24" xfId="0" applyFont="1" applyFill="1" applyBorder="1" applyAlignment="1">
      <alignment horizontal="center" vertical="center"/>
    </xf>
    <xf numFmtId="0" fontId="18" fillId="4" borderId="27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8" fillId="4" borderId="25" xfId="0" applyFont="1" applyFill="1" applyBorder="1" applyAlignment="1">
      <alignment horizontal="center" vertical="center"/>
    </xf>
    <xf numFmtId="0" fontId="18" fillId="4" borderId="33" xfId="0" applyFont="1" applyFill="1" applyBorder="1" applyAlignment="1">
      <alignment horizontal="center" vertical="center"/>
    </xf>
    <xf numFmtId="0" fontId="11" fillId="4" borderId="2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21" fillId="2" borderId="36" xfId="0" applyFont="1" applyFill="1" applyBorder="1" applyAlignment="1">
      <alignment wrapText="1"/>
    </xf>
    <xf numFmtId="0" fontId="21" fillId="2" borderId="37" xfId="0" applyFont="1" applyFill="1" applyBorder="1" applyAlignment="1">
      <alignment wrapText="1"/>
    </xf>
    <xf numFmtId="0" fontId="22" fillId="2" borderId="38" xfId="0" applyFont="1" applyFill="1" applyBorder="1" applyAlignment="1">
      <alignment wrapText="1"/>
    </xf>
    <xf numFmtId="0" fontId="1" fillId="2" borderId="39" xfId="0" applyFont="1" applyFill="1" applyBorder="1" applyAlignment="1">
      <alignment horizontal="center" vertical="center" wrapText="1"/>
    </xf>
    <xf numFmtId="164" fontId="2" fillId="3" borderId="40" xfId="0" applyNumberFormat="1" applyFont="1" applyFill="1" applyBorder="1" applyAlignment="1">
      <alignment horizontal="center" vertical="center"/>
    </xf>
    <xf numFmtId="164" fontId="2" fillId="3" borderId="35" xfId="0" applyNumberFormat="1" applyFont="1" applyFill="1" applyBorder="1" applyAlignment="1">
      <alignment horizontal="center" vertical="center"/>
    </xf>
    <xf numFmtId="0" fontId="24" fillId="0" borderId="24" xfId="0" applyFont="1" applyBorder="1"/>
    <xf numFmtId="0" fontId="24" fillId="0" borderId="27" xfId="0" applyFont="1" applyBorder="1"/>
    <xf numFmtId="0" fontId="24" fillId="0" borderId="0" xfId="0" applyFont="1"/>
    <xf numFmtId="0" fontId="25" fillId="0" borderId="25" xfId="0" applyFont="1" applyBorder="1"/>
    <xf numFmtId="0" fontId="25" fillId="0" borderId="25" xfId="0" applyFont="1" applyBorder="1" applyAlignment="1">
      <alignment horizontal="center"/>
    </xf>
    <xf numFmtId="0" fontId="0" fillId="4" borderId="0" xfId="0" applyFill="1"/>
    <xf numFmtId="0" fontId="18" fillId="4" borderId="25" xfId="0" applyFont="1" applyFill="1" applyBorder="1"/>
    <xf numFmtId="0" fontId="24" fillId="4" borderId="25" xfId="0" applyFont="1" applyFill="1" applyBorder="1" applyAlignment="1">
      <alignment horizontal="center"/>
    </xf>
    <xf numFmtId="0" fontId="24" fillId="4" borderId="33" xfId="0" applyFont="1" applyFill="1" applyBorder="1"/>
    <xf numFmtId="0" fontId="24" fillId="4" borderId="24" xfId="0" applyFont="1" applyFill="1" applyBorder="1"/>
    <xf numFmtId="0" fontId="18" fillId="4" borderId="24" xfId="0" applyFont="1" applyFill="1" applyBorder="1"/>
    <xf numFmtId="0" fontId="24" fillId="4" borderId="24" xfId="0" applyFont="1" applyFill="1" applyBorder="1" applyAlignment="1">
      <alignment horizontal="center"/>
    </xf>
    <xf numFmtId="0" fontId="24" fillId="4" borderId="27" xfId="0" applyFont="1" applyFill="1" applyBorder="1"/>
    <xf numFmtId="0" fontId="17" fillId="4" borderId="24" xfId="0" applyFont="1" applyFill="1" applyBorder="1" applyAlignment="1">
      <alignment wrapText="1"/>
    </xf>
    <xf numFmtId="0" fontId="23" fillId="4" borderId="27" xfId="0" applyFont="1" applyFill="1" applyBorder="1"/>
    <xf numFmtId="0" fontId="22" fillId="2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5" fillId="0" borderId="27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5" fillId="0" borderId="29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1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9"/>
  <sheetViews>
    <sheetView zoomScale="97" zoomScaleNormal="100" workbookViewId="0">
      <pane xSplit="2" topLeftCell="C1" activePane="topRight" state="frozen"/>
      <selection activeCell="A22" sqref="A22"/>
      <selection pane="topRight" activeCell="AI5" sqref="AI5"/>
    </sheetView>
  </sheetViews>
  <sheetFormatPr defaultColWidth="9.21875" defaultRowHeight="17.100000000000001" customHeight="1" x14ac:dyDescent="0.35"/>
  <cols>
    <col min="1" max="1" width="5.21875" style="1" bestFit="1" customWidth="1"/>
    <col min="2" max="2" width="26.77734375" style="1" bestFit="1" customWidth="1"/>
    <col min="3" max="30" width="5.77734375" customWidth="1"/>
    <col min="31" max="31" width="6.21875" style="1" bestFit="1" customWidth="1"/>
    <col min="32" max="32" width="8.44140625" style="1" bestFit="1" customWidth="1"/>
    <col min="33" max="33" width="7.5546875" style="1" bestFit="1" customWidth="1"/>
    <col min="34" max="34" width="6.21875" style="1" bestFit="1" customWidth="1"/>
    <col min="35" max="35" width="9.21875" style="8" bestFit="1" customWidth="1"/>
    <col min="36" max="37" width="9.21875" customWidth="1"/>
    <col min="38" max="38" width="9.21875" style="1" customWidth="1"/>
    <col min="39" max="16384" width="9.21875" style="1"/>
  </cols>
  <sheetData>
    <row r="1" spans="1:40" s="2" customFormat="1" ht="17.100000000000001" customHeight="1" thickBot="1" x14ac:dyDescent="0.35">
      <c r="A1" s="87" t="s">
        <v>124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9"/>
      <c r="AJ1"/>
      <c r="AK1"/>
    </row>
    <row r="2" spans="1:40" s="2" customFormat="1" ht="17.100000000000001" customHeight="1" x14ac:dyDescent="0.35">
      <c r="A2" s="81" t="s">
        <v>0</v>
      </c>
      <c r="B2" s="90" t="s">
        <v>1</v>
      </c>
      <c r="C2" s="6">
        <v>46054</v>
      </c>
      <c r="D2" s="6">
        <f>C2+1</f>
        <v>46055</v>
      </c>
      <c r="E2" s="6">
        <f t="shared" ref="E2:AD2" si="0">D2+1</f>
        <v>46056</v>
      </c>
      <c r="F2" s="6">
        <f t="shared" si="0"/>
        <v>46057</v>
      </c>
      <c r="G2" s="6">
        <f t="shared" si="0"/>
        <v>46058</v>
      </c>
      <c r="H2" s="6">
        <f t="shared" si="0"/>
        <v>46059</v>
      </c>
      <c r="I2" s="6">
        <f t="shared" si="0"/>
        <v>46060</v>
      </c>
      <c r="J2" s="6">
        <f t="shared" si="0"/>
        <v>46061</v>
      </c>
      <c r="K2" s="6">
        <f t="shared" si="0"/>
        <v>46062</v>
      </c>
      <c r="L2" s="6">
        <f t="shared" si="0"/>
        <v>46063</v>
      </c>
      <c r="M2" s="6">
        <f t="shared" si="0"/>
        <v>46064</v>
      </c>
      <c r="N2" s="6">
        <f t="shared" si="0"/>
        <v>46065</v>
      </c>
      <c r="O2" s="6">
        <f t="shared" si="0"/>
        <v>46066</v>
      </c>
      <c r="P2" s="6">
        <f t="shared" si="0"/>
        <v>46067</v>
      </c>
      <c r="Q2" s="6">
        <f t="shared" si="0"/>
        <v>46068</v>
      </c>
      <c r="R2" s="6">
        <f t="shared" si="0"/>
        <v>46069</v>
      </c>
      <c r="S2" s="6">
        <f t="shared" si="0"/>
        <v>46070</v>
      </c>
      <c r="T2" s="6">
        <f t="shared" si="0"/>
        <v>46071</v>
      </c>
      <c r="U2" s="6">
        <f t="shared" si="0"/>
        <v>46072</v>
      </c>
      <c r="V2" s="6">
        <f t="shared" si="0"/>
        <v>46073</v>
      </c>
      <c r="W2" s="6">
        <f t="shared" si="0"/>
        <v>46074</v>
      </c>
      <c r="X2" s="6">
        <f t="shared" si="0"/>
        <v>46075</v>
      </c>
      <c r="Y2" s="6">
        <f t="shared" si="0"/>
        <v>46076</v>
      </c>
      <c r="Z2" s="6">
        <f t="shared" si="0"/>
        <v>46077</v>
      </c>
      <c r="AA2" s="6">
        <f t="shared" si="0"/>
        <v>46078</v>
      </c>
      <c r="AB2" s="6">
        <f t="shared" si="0"/>
        <v>46079</v>
      </c>
      <c r="AC2" s="6">
        <f t="shared" si="0"/>
        <v>46080</v>
      </c>
      <c r="AD2" s="6">
        <f t="shared" si="0"/>
        <v>46081</v>
      </c>
      <c r="AE2" s="81" t="s">
        <v>13</v>
      </c>
      <c r="AF2" s="83" t="s">
        <v>18</v>
      </c>
      <c r="AG2" s="83" t="s">
        <v>5</v>
      </c>
      <c r="AH2" s="94" t="s">
        <v>15</v>
      </c>
      <c r="AI2" s="96" t="s">
        <v>19</v>
      </c>
      <c r="AJ2"/>
      <c r="AK2"/>
      <c r="AL2"/>
      <c r="AM2"/>
      <c r="AN2"/>
    </row>
    <row r="3" spans="1:40" s="2" customFormat="1" ht="17.100000000000001" customHeight="1" thickBot="1" x14ac:dyDescent="0.35">
      <c r="A3" s="92"/>
      <c r="B3" s="91"/>
      <c r="C3" s="59" t="str">
        <f>TEXT(C2,"ddd")</f>
        <v>Sun</v>
      </c>
      <c r="D3" s="60" t="str">
        <f t="shared" ref="D3:AD3" si="1">TEXT(D2,"ddd")</f>
        <v>Mon</v>
      </c>
      <c r="E3" s="60" t="str">
        <f t="shared" si="1"/>
        <v>Tue</v>
      </c>
      <c r="F3" s="60" t="str">
        <f t="shared" si="1"/>
        <v>Wed</v>
      </c>
      <c r="G3" s="60" t="str">
        <f t="shared" si="1"/>
        <v>Thu</v>
      </c>
      <c r="H3" s="60" t="str">
        <f t="shared" si="1"/>
        <v>Fri</v>
      </c>
      <c r="I3" s="60" t="str">
        <f t="shared" si="1"/>
        <v>Sat</v>
      </c>
      <c r="J3" s="60" t="str">
        <f t="shared" si="1"/>
        <v>Sun</v>
      </c>
      <c r="K3" s="60" t="str">
        <f t="shared" si="1"/>
        <v>Mon</v>
      </c>
      <c r="L3" s="60" t="str">
        <f t="shared" si="1"/>
        <v>Tue</v>
      </c>
      <c r="M3" s="60" t="str">
        <f t="shared" si="1"/>
        <v>Wed</v>
      </c>
      <c r="N3" s="60" t="str">
        <f t="shared" si="1"/>
        <v>Thu</v>
      </c>
      <c r="O3" s="60" t="str">
        <f t="shared" si="1"/>
        <v>Fri</v>
      </c>
      <c r="P3" s="60" t="str">
        <f t="shared" si="1"/>
        <v>Sat</v>
      </c>
      <c r="Q3" s="60" t="str">
        <f t="shared" si="1"/>
        <v>Sun</v>
      </c>
      <c r="R3" s="60" t="str">
        <f t="shared" si="1"/>
        <v>Mon</v>
      </c>
      <c r="S3" s="60" t="str">
        <f t="shared" si="1"/>
        <v>Tue</v>
      </c>
      <c r="T3" s="60" t="str">
        <f t="shared" si="1"/>
        <v>Wed</v>
      </c>
      <c r="U3" s="60" t="str">
        <f t="shared" si="1"/>
        <v>Thu</v>
      </c>
      <c r="V3" s="60" t="str">
        <f t="shared" si="1"/>
        <v>Fri</v>
      </c>
      <c r="W3" s="60" t="str">
        <f t="shared" si="1"/>
        <v>Sat</v>
      </c>
      <c r="X3" s="60" t="str">
        <f t="shared" si="1"/>
        <v>Sun</v>
      </c>
      <c r="Y3" s="60" t="str">
        <f t="shared" si="1"/>
        <v>Mon</v>
      </c>
      <c r="Z3" s="60" t="str">
        <f t="shared" si="1"/>
        <v>Tue</v>
      </c>
      <c r="AA3" s="60" t="str">
        <f t="shared" si="1"/>
        <v>Wed</v>
      </c>
      <c r="AB3" s="60" t="str">
        <f t="shared" si="1"/>
        <v>Thu</v>
      </c>
      <c r="AC3" s="60" t="str">
        <f t="shared" si="1"/>
        <v>Fri</v>
      </c>
      <c r="AD3" s="60" t="str">
        <f t="shared" si="1"/>
        <v>Sat</v>
      </c>
      <c r="AE3" s="92"/>
      <c r="AF3" s="93"/>
      <c r="AG3" s="93"/>
      <c r="AH3" s="95"/>
      <c r="AI3" s="97"/>
      <c r="AJ3"/>
      <c r="AK3"/>
      <c r="AL3"/>
      <c r="AM3"/>
      <c r="AN3"/>
    </row>
    <row r="4" spans="1:40" s="2" customFormat="1" ht="17.100000000000001" customHeight="1" thickBot="1" x14ac:dyDescent="0.4">
      <c r="A4" s="55">
        <v>1</v>
      </c>
      <c r="B4" s="57" t="s">
        <v>109</v>
      </c>
      <c r="C4" s="42" t="s">
        <v>14</v>
      </c>
      <c r="D4" s="42" t="s">
        <v>16</v>
      </c>
      <c r="E4" s="42" t="s">
        <v>17</v>
      </c>
      <c r="F4" s="42" t="s">
        <v>17</v>
      </c>
      <c r="G4" s="42" t="s">
        <v>103</v>
      </c>
      <c r="H4" s="42" t="s">
        <v>103</v>
      </c>
      <c r="I4" s="42" t="s">
        <v>103</v>
      </c>
      <c r="J4" s="42" t="s">
        <v>14</v>
      </c>
      <c r="K4" s="42" t="s">
        <v>16</v>
      </c>
      <c r="L4" s="42" t="s">
        <v>16</v>
      </c>
      <c r="M4" s="42" t="s">
        <v>17</v>
      </c>
      <c r="N4" s="42" t="s">
        <v>16</v>
      </c>
      <c r="O4" s="42" t="s">
        <v>16</v>
      </c>
      <c r="P4" s="42" t="s">
        <v>17</v>
      </c>
      <c r="Q4" s="42" t="s">
        <v>14</v>
      </c>
      <c r="R4" s="42" t="s">
        <v>17</v>
      </c>
      <c r="S4" s="42" t="s">
        <v>16</v>
      </c>
      <c r="T4" s="42" t="s">
        <v>17</v>
      </c>
      <c r="U4" s="42" t="s">
        <v>16</v>
      </c>
      <c r="V4" s="42" t="s">
        <v>16</v>
      </c>
      <c r="W4" s="42" t="s">
        <v>16</v>
      </c>
      <c r="X4" s="42" t="s">
        <v>14</v>
      </c>
      <c r="Y4" s="42" t="s">
        <v>16</v>
      </c>
      <c r="Z4" s="42" t="s">
        <v>16</v>
      </c>
      <c r="AA4" s="42" t="s">
        <v>16</v>
      </c>
      <c r="AB4" s="42" t="s">
        <v>16</v>
      </c>
      <c r="AC4" s="42" t="s">
        <v>16</v>
      </c>
      <c r="AD4" s="42" t="s">
        <v>16</v>
      </c>
      <c r="AE4" s="58">
        <f t="shared" ref="AE4" si="2">COUNTIF(C4:AD4,"L")</f>
        <v>6</v>
      </c>
      <c r="AF4" s="29">
        <f t="shared" ref="AF4" si="3">COUNTIF(C4:AD4,"H")</f>
        <v>4</v>
      </c>
      <c r="AG4" s="29">
        <f t="shared" ref="AG4" si="4">COUNTIF(C4:AD4,"P")</f>
        <v>18</v>
      </c>
      <c r="AH4" s="30">
        <f>SUM(AF4:AG4)</f>
        <v>22</v>
      </c>
      <c r="AI4" s="31">
        <f t="shared" ref="AI4:AI35" si="5">ROUND(16500/$AH$10*AH4,0)</f>
        <v>12964</v>
      </c>
      <c r="AJ4" s="13"/>
      <c r="AK4" s="1"/>
      <c r="AL4" s="1"/>
      <c r="AM4" s="1"/>
      <c r="AN4" s="1"/>
    </row>
    <row r="5" spans="1:40" s="2" customFormat="1" ht="17.100000000000001" customHeight="1" thickBot="1" x14ac:dyDescent="0.4">
      <c r="A5" s="56">
        <v>2</v>
      </c>
      <c r="B5" s="57" t="s">
        <v>108</v>
      </c>
      <c r="C5" s="42" t="s">
        <v>14</v>
      </c>
      <c r="D5" s="42" t="s">
        <v>16</v>
      </c>
      <c r="E5" s="42" t="s">
        <v>16</v>
      </c>
      <c r="F5" s="42" t="s">
        <v>16</v>
      </c>
      <c r="G5" s="42" t="s">
        <v>103</v>
      </c>
      <c r="H5" s="42" t="s">
        <v>103</v>
      </c>
      <c r="I5" s="42" t="s">
        <v>103</v>
      </c>
      <c r="J5" s="42" t="s">
        <v>14</v>
      </c>
      <c r="K5" s="42" t="s">
        <v>16</v>
      </c>
      <c r="L5" s="42" t="s">
        <v>16</v>
      </c>
      <c r="M5" s="42" t="s">
        <v>16</v>
      </c>
      <c r="N5" s="42" t="s">
        <v>16</v>
      </c>
      <c r="O5" s="42" t="s">
        <v>16</v>
      </c>
      <c r="P5" s="42" t="s">
        <v>16</v>
      </c>
      <c r="Q5" s="42" t="s">
        <v>14</v>
      </c>
      <c r="R5" s="42" t="s">
        <v>16</v>
      </c>
      <c r="S5" s="42" t="s">
        <v>16</v>
      </c>
      <c r="T5" s="42" t="s">
        <v>16</v>
      </c>
      <c r="U5" s="42" t="s">
        <v>16</v>
      </c>
      <c r="V5" s="42" t="s">
        <v>16</v>
      </c>
      <c r="W5" s="42" t="s">
        <v>16</v>
      </c>
      <c r="X5" s="42" t="s">
        <v>14</v>
      </c>
      <c r="Y5" s="42" t="s">
        <v>16</v>
      </c>
      <c r="Z5" s="42" t="s">
        <v>16</v>
      </c>
      <c r="AA5" s="42" t="s">
        <v>16</v>
      </c>
      <c r="AB5" s="42" t="s">
        <v>16</v>
      </c>
      <c r="AC5" s="42" t="s">
        <v>16</v>
      </c>
      <c r="AD5" s="42" t="s">
        <v>16</v>
      </c>
      <c r="AE5" s="58">
        <f t="shared" ref="AE5:AE56" si="6">COUNTIF(C5:AD5,"L")</f>
        <v>0</v>
      </c>
      <c r="AF5" s="29">
        <f t="shared" ref="AF5:AF56" si="7">COUNTIF(C5:AD5,"H")</f>
        <v>4</v>
      </c>
      <c r="AG5" s="29">
        <f t="shared" ref="AG5:AG56" si="8">COUNTIF(C5:AD5,"P")</f>
        <v>24</v>
      </c>
      <c r="AH5" s="30">
        <f t="shared" ref="AH5:AH56" si="9">SUM(AF5:AG5)</f>
        <v>28</v>
      </c>
      <c r="AI5" s="31">
        <f t="shared" si="5"/>
        <v>16500</v>
      </c>
      <c r="AJ5" s="13"/>
      <c r="AK5" s="1"/>
      <c r="AL5" s="1"/>
      <c r="AM5" s="1"/>
      <c r="AN5" s="1"/>
    </row>
    <row r="6" spans="1:40" s="2" customFormat="1" ht="17.100000000000001" customHeight="1" thickBot="1" x14ac:dyDescent="0.4">
      <c r="A6" s="55">
        <v>3</v>
      </c>
      <c r="B6" s="57" t="s">
        <v>22</v>
      </c>
      <c r="C6" s="42" t="s">
        <v>14</v>
      </c>
      <c r="D6" s="42" t="s">
        <v>16</v>
      </c>
      <c r="E6" s="42" t="s">
        <v>16</v>
      </c>
      <c r="F6" s="42" t="s">
        <v>16</v>
      </c>
      <c r="G6" s="42" t="s">
        <v>103</v>
      </c>
      <c r="H6" s="42" t="s">
        <v>103</v>
      </c>
      <c r="I6" s="42" t="s">
        <v>103</v>
      </c>
      <c r="J6" s="42" t="s">
        <v>14</v>
      </c>
      <c r="K6" s="42" t="s">
        <v>16</v>
      </c>
      <c r="L6" s="42" t="s">
        <v>16</v>
      </c>
      <c r="M6" s="42" t="s">
        <v>16</v>
      </c>
      <c r="N6" s="42" t="s">
        <v>16</v>
      </c>
      <c r="O6" s="42" t="s">
        <v>16</v>
      </c>
      <c r="P6" s="42" t="s">
        <v>16</v>
      </c>
      <c r="Q6" s="42" t="s">
        <v>14</v>
      </c>
      <c r="R6" s="42" t="s">
        <v>17</v>
      </c>
      <c r="S6" s="42" t="s">
        <v>16</v>
      </c>
      <c r="T6" s="42" t="s">
        <v>16</v>
      </c>
      <c r="U6" s="42" t="s">
        <v>16</v>
      </c>
      <c r="V6" s="42" t="s">
        <v>16</v>
      </c>
      <c r="W6" s="42" t="s">
        <v>16</v>
      </c>
      <c r="X6" s="42" t="s">
        <v>14</v>
      </c>
      <c r="Y6" s="42" t="s">
        <v>16</v>
      </c>
      <c r="Z6" s="42" t="s">
        <v>16</v>
      </c>
      <c r="AA6" s="42" t="s">
        <v>16</v>
      </c>
      <c r="AB6" s="42" t="s">
        <v>16</v>
      </c>
      <c r="AC6" s="42" t="s">
        <v>16</v>
      </c>
      <c r="AD6" s="42" t="s">
        <v>16</v>
      </c>
      <c r="AE6" s="58">
        <f t="shared" si="6"/>
        <v>1</v>
      </c>
      <c r="AF6" s="29">
        <f t="shared" si="7"/>
        <v>4</v>
      </c>
      <c r="AG6" s="29">
        <f t="shared" si="8"/>
        <v>23</v>
      </c>
      <c r="AH6" s="30">
        <f t="shared" si="9"/>
        <v>27</v>
      </c>
      <c r="AI6" s="31">
        <f t="shared" si="5"/>
        <v>15911</v>
      </c>
      <c r="AJ6" s="13"/>
      <c r="AK6" s="1"/>
      <c r="AL6" s="1"/>
      <c r="AM6" s="1"/>
      <c r="AN6" s="1"/>
    </row>
    <row r="7" spans="1:40" s="2" customFormat="1" ht="17.100000000000001" customHeight="1" thickBot="1" x14ac:dyDescent="0.4">
      <c r="A7" s="56">
        <v>4</v>
      </c>
      <c r="B7" s="57" t="s">
        <v>12</v>
      </c>
      <c r="C7" s="42" t="s">
        <v>14</v>
      </c>
      <c r="D7" s="42" t="s">
        <v>16</v>
      </c>
      <c r="E7" s="42" t="s">
        <v>16</v>
      </c>
      <c r="F7" s="42" t="s">
        <v>16</v>
      </c>
      <c r="G7" s="42" t="s">
        <v>16</v>
      </c>
      <c r="H7" s="42" t="s">
        <v>16</v>
      </c>
      <c r="I7" s="42" t="s">
        <v>16</v>
      </c>
      <c r="J7" s="42" t="s">
        <v>14</v>
      </c>
      <c r="K7" s="42" t="s">
        <v>16</v>
      </c>
      <c r="L7" s="42" t="s">
        <v>16</v>
      </c>
      <c r="M7" s="42" t="s">
        <v>16</v>
      </c>
      <c r="N7" s="42" t="s">
        <v>16</v>
      </c>
      <c r="O7" s="42" t="s">
        <v>16</v>
      </c>
      <c r="P7" s="42" t="s">
        <v>16</v>
      </c>
      <c r="Q7" s="42" t="s">
        <v>14</v>
      </c>
      <c r="R7" s="42" t="s">
        <v>17</v>
      </c>
      <c r="S7" s="42" t="s">
        <v>16</v>
      </c>
      <c r="T7" s="42" t="s">
        <v>16</v>
      </c>
      <c r="U7" s="42" t="s">
        <v>16</v>
      </c>
      <c r="V7" s="42" t="s">
        <v>16</v>
      </c>
      <c r="W7" s="42" t="s">
        <v>16</v>
      </c>
      <c r="X7" s="42" t="s">
        <v>14</v>
      </c>
      <c r="Y7" s="42" t="s">
        <v>16</v>
      </c>
      <c r="Z7" s="42" t="s">
        <v>16</v>
      </c>
      <c r="AA7" s="42" t="s">
        <v>16</v>
      </c>
      <c r="AB7" s="42" t="s">
        <v>16</v>
      </c>
      <c r="AC7" s="42" t="s">
        <v>16</v>
      </c>
      <c r="AD7" s="42" t="s">
        <v>16</v>
      </c>
      <c r="AE7" s="58">
        <f t="shared" si="6"/>
        <v>1</v>
      </c>
      <c r="AF7" s="29">
        <f t="shared" si="7"/>
        <v>4</v>
      </c>
      <c r="AG7" s="29">
        <f t="shared" si="8"/>
        <v>23</v>
      </c>
      <c r="AH7" s="30">
        <f t="shared" si="9"/>
        <v>27</v>
      </c>
      <c r="AI7" s="31">
        <f t="shared" si="5"/>
        <v>15911</v>
      </c>
      <c r="AJ7" s="13"/>
      <c r="AK7" s="1"/>
      <c r="AL7" s="1"/>
      <c r="AM7" s="1"/>
      <c r="AN7" s="1"/>
    </row>
    <row r="8" spans="1:40" s="2" customFormat="1" ht="17.100000000000001" customHeight="1" thickBot="1" x14ac:dyDescent="0.4">
      <c r="A8" s="55">
        <v>5</v>
      </c>
      <c r="B8" s="57" t="s">
        <v>104</v>
      </c>
      <c r="C8" s="42" t="s">
        <v>14</v>
      </c>
      <c r="D8" s="42" t="s">
        <v>16</v>
      </c>
      <c r="E8" s="42" t="s">
        <v>16</v>
      </c>
      <c r="F8" s="42" t="s">
        <v>16</v>
      </c>
      <c r="G8" s="42" t="s">
        <v>16</v>
      </c>
      <c r="H8" s="42" t="s">
        <v>16</v>
      </c>
      <c r="I8" s="42" t="s">
        <v>16</v>
      </c>
      <c r="J8" s="42" t="s">
        <v>14</v>
      </c>
      <c r="K8" s="42" t="s">
        <v>17</v>
      </c>
      <c r="L8" s="42" t="s">
        <v>16</v>
      </c>
      <c r="M8" s="42" t="s">
        <v>16</v>
      </c>
      <c r="N8" s="42" t="s">
        <v>17</v>
      </c>
      <c r="O8" s="42" t="s">
        <v>17</v>
      </c>
      <c r="P8" s="42" t="s">
        <v>17</v>
      </c>
      <c r="Q8" s="42" t="s">
        <v>14</v>
      </c>
      <c r="R8" s="42" t="s">
        <v>16</v>
      </c>
      <c r="S8" s="42" t="s">
        <v>16</v>
      </c>
      <c r="T8" s="42" t="s">
        <v>17</v>
      </c>
      <c r="U8" s="42" t="s">
        <v>16</v>
      </c>
      <c r="V8" s="42" t="s">
        <v>16</v>
      </c>
      <c r="W8" s="42" t="s">
        <v>16</v>
      </c>
      <c r="X8" s="42" t="s">
        <v>14</v>
      </c>
      <c r="Y8" s="42" t="s">
        <v>16</v>
      </c>
      <c r="Z8" s="42" t="s">
        <v>16</v>
      </c>
      <c r="AA8" s="42" t="s">
        <v>16</v>
      </c>
      <c r="AB8" s="42" t="s">
        <v>16</v>
      </c>
      <c r="AC8" s="42" t="s">
        <v>16</v>
      </c>
      <c r="AD8" s="42" t="s">
        <v>16</v>
      </c>
      <c r="AE8" s="58">
        <f t="shared" si="6"/>
        <v>5</v>
      </c>
      <c r="AF8" s="29">
        <f t="shared" si="7"/>
        <v>4</v>
      </c>
      <c r="AG8" s="29">
        <f t="shared" si="8"/>
        <v>19</v>
      </c>
      <c r="AH8" s="30">
        <f t="shared" si="9"/>
        <v>23</v>
      </c>
      <c r="AI8" s="31">
        <f t="shared" si="5"/>
        <v>13554</v>
      </c>
      <c r="AJ8" s="13"/>
      <c r="AK8" s="1"/>
      <c r="AL8" s="1"/>
      <c r="AM8" s="1"/>
    </row>
    <row r="9" spans="1:40" s="2" customFormat="1" ht="17.100000000000001" customHeight="1" thickBot="1" x14ac:dyDescent="0.4">
      <c r="A9" s="56">
        <v>6</v>
      </c>
      <c r="B9" s="57" t="s">
        <v>61</v>
      </c>
      <c r="C9" s="42" t="s">
        <v>14</v>
      </c>
      <c r="D9" s="42" t="s">
        <v>17</v>
      </c>
      <c r="E9" s="42" t="s">
        <v>16</v>
      </c>
      <c r="F9" s="42" t="s">
        <v>16</v>
      </c>
      <c r="G9" s="42" t="s">
        <v>16</v>
      </c>
      <c r="H9" s="42" t="s">
        <v>17</v>
      </c>
      <c r="I9" s="42" t="s">
        <v>16</v>
      </c>
      <c r="J9" s="42" t="s">
        <v>14</v>
      </c>
      <c r="K9" s="42" t="s">
        <v>16</v>
      </c>
      <c r="L9" s="42" t="s">
        <v>16</v>
      </c>
      <c r="M9" s="42" t="s">
        <v>16</v>
      </c>
      <c r="N9" s="42" t="s">
        <v>16</v>
      </c>
      <c r="O9" s="42" t="s">
        <v>16</v>
      </c>
      <c r="P9" s="42" t="s">
        <v>16</v>
      </c>
      <c r="Q9" s="42" t="s">
        <v>14</v>
      </c>
      <c r="R9" s="42" t="s">
        <v>16</v>
      </c>
      <c r="S9" s="42" t="s">
        <v>16</v>
      </c>
      <c r="T9" s="42" t="s">
        <v>16</v>
      </c>
      <c r="U9" s="42" t="s">
        <v>16</v>
      </c>
      <c r="V9" s="42" t="s">
        <v>16</v>
      </c>
      <c r="W9" s="42" t="s">
        <v>16</v>
      </c>
      <c r="X9" s="42" t="s">
        <v>14</v>
      </c>
      <c r="Y9" s="42" t="s">
        <v>16</v>
      </c>
      <c r="Z9" s="42" t="s">
        <v>16</v>
      </c>
      <c r="AA9" s="42" t="s">
        <v>16</v>
      </c>
      <c r="AB9" s="42" t="s">
        <v>16</v>
      </c>
      <c r="AC9" s="42" t="s">
        <v>16</v>
      </c>
      <c r="AD9" s="42" t="s">
        <v>16</v>
      </c>
      <c r="AE9" s="58">
        <f t="shared" si="6"/>
        <v>2</v>
      </c>
      <c r="AF9" s="29">
        <f t="shared" si="7"/>
        <v>4</v>
      </c>
      <c r="AG9" s="29">
        <f t="shared" si="8"/>
        <v>22</v>
      </c>
      <c r="AH9" s="30">
        <f t="shared" si="9"/>
        <v>26</v>
      </c>
      <c r="AI9" s="31">
        <f t="shared" si="5"/>
        <v>15321</v>
      </c>
      <c r="AJ9" s="13"/>
      <c r="AK9" s="1"/>
      <c r="AL9" s="1"/>
      <c r="AM9" s="1"/>
    </row>
    <row r="10" spans="1:40" s="2" customFormat="1" ht="17.100000000000001" customHeight="1" thickBot="1" x14ac:dyDescent="0.4">
      <c r="A10" s="55">
        <v>7</v>
      </c>
      <c r="B10" s="57" t="s">
        <v>55</v>
      </c>
      <c r="C10" s="42" t="s">
        <v>14</v>
      </c>
      <c r="D10" s="42" t="s">
        <v>16</v>
      </c>
      <c r="E10" s="42" t="s">
        <v>16</v>
      </c>
      <c r="F10" s="42" t="s">
        <v>16</v>
      </c>
      <c r="G10" s="42" t="s">
        <v>16</v>
      </c>
      <c r="H10" s="42" t="s">
        <v>16</v>
      </c>
      <c r="I10" s="42" t="s">
        <v>16</v>
      </c>
      <c r="J10" s="42" t="s">
        <v>14</v>
      </c>
      <c r="K10" s="42" t="s">
        <v>16</v>
      </c>
      <c r="L10" s="42" t="s">
        <v>16</v>
      </c>
      <c r="M10" s="42" t="s">
        <v>16</v>
      </c>
      <c r="N10" s="42" t="s">
        <v>16</v>
      </c>
      <c r="O10" s="42" t="s">
        <v>16</v>
      </c>
      <c r="P10" s="42" t="s">
        <v>16</v>
      </c>
      <c r="Q10" s="42" t="s">
        <v>14</v>
      </c>
      <c r="R10" s="42" t="s">
        <v>16</v>
      </c>
      <c r="S10" s="42" t="s">
        <v>16</v>
      </c>
      <c r="T10" s="42" t="s">
        <v>16</v>
      </c>
      <c r="U10" s="42" t="s">
        <v>16</v>
      </c>
      <c r="V10" s="42" t="s">
        <v>16</v>
      </c>
      <c r="W10" s="42" t="s">
        <v>16</v>
      </c>
      <c r="X10" s="42" t="s">
        <v>14</v>
      </c>
      <c r="Y10" s="42" t="s">
        <v>16</v>
      </c>
      <c r="Z10" s="42" t="s">
        <v>16</v>
      </c>
      <c r="AA10" s="42" t="s">
        <v>16</v>
      </c>
      <c r="AB10" s="42" t="s">
        <v>16</v>
      </c>
      <c r="AC10" s="42" t="s">
        <v>16</v>
      </c>
      <c r="AD10" s="42" t="s">
        <v>16</v>
      </c>
      <c r="AE10" s="58">
        <f t="shared" si="6"/>
        <v>0</v>
      </c>
      <c r="AF10" s="29">
        <f t="shared" si="7"/>
        <v>4</v>
      </c>
      <c r="AG10" s="29">
        <f t="shared" si="8"/>
        <v>24</v>
      </c>
      <c r="AH10" s="30">
        <f t="shared" si="9"/>
        <v>28</v>
      </c>
      <c r="AI10" s="31">
        <f t="shared" si="5"/>
        <v>16500</v>
      </c>
      <c r="AJ10" s="13"/>
      <c r="AK10" s="1"/>
      <c r="AL10" s="1"/>
      <c r="AM10" s="1"/>
    </row>
    <row r="11" spans="1:40" s="2" customFormat="1" ht="17.100000000000001" customHeight="1" thickBot="1" x14ac:dyDescent="0.4">
      <c r="A11" s="56">
        <v>8</v>
      </c>
      <c r="B11" s="57" t="s">
        <v>101</v>
      </c>
      <c r="C11" s="42" t="s">
        <v>14</v>
      </c>
      <c r="D11" s="42" t="s">
        <v>16</v>
      </c>
      <c r="E11" s="42" t="s">
        <v>17</v>
      </c>
      <c r="F11" s="42" t="s">
        <v>17</v>
      </c>
      <c r="G11" s="42" t="s">
        <v>17</v>
      </c>
      <c r="H11" s="42" t="s">
        <v>17</v>
      </c>
      <c r="I11" s="42" t="s">
        <v>17</v>
      </c>
      <c r="J11" s="42" t="s">
        <v>14</v>
      </c>
      <c r="K11" s="42" t="s">
        <v>16</v>
      </c>
      <c r="L11" s="42" t="s">
        <v>16</v>
      </c>
      <c r="M11" s="42" t="s">
        <v>16</v>
      </c>
      <c r="N11" s="42" t="s">
        <v>16</v>
      </c>
      <c r="O11" s="42" t="s">
        <v>16</v>
      </c>
      <c r="P11" s="42" t="s">
        <v>16</v>
      </c>
      <c r="Q11" s="42" t="s">
        <v>14</v>
      </c>
      <c r="R11" s="42" t="s">
        <v>16</v>
      </c>
      <c r="S11" s="42" t="s">
        <v>16</v>
      </c>
      <c r="T11" s="42" t="s">
        <v>16</v>
      </c>
      <c r="U11" s="42" t="s">
        <v>16</v>
      </c>
      <c r="V11" s="42" t="s">
        <v>16</v>
      </c>
      <c r="W11" s="42" t="s">
        <v>16</v>
      </c>
      <c r="X11" s="42" t="s">
        <v>14</v>
      </c>
      <c r="Y11" s="42" t="s">
        <v>16</v>
      </c>
      <c r="Z11" s="42" t="s">
        <v>16</v>
      </c>
      <c r="AA11" s="42" t="s">
        <v>16</v>
      </c>
      <c r="AB11" s="42" t="s">
        <v>16</v>
      </c>
      <c r="AC11" s="42" t="s">
        <v>16</v>
      </c>
      <c r="AD11" s="42" t="s">
        <v>16</v>
      </c>
      <c r="AE11" s="58">
        <f t="shared" si="6"/>
        <v>5</v>
      </c>
      <c r="AF11" s="29">
        <f t="shared" si="7"/>
        <v>4</v>
      </c>
      <c r="AG11" s="29">
        <f t="shared" si="8"/>
        <v>19</v>
      </c>
      <c r="AH11" s="30">
        <f t="shared" si="9"/>
        <v>23</v>
      </c>
      <c r="AI11" s="31">
        <f t="shared" si="5"/>
        <v>13554</v>
      </c>
      <c r="AJ11" s="13"/>
      <c r="AK11" s="1"/>
      <c r="AL11" s="1"/>
      <c r="AM11" s="1"/>
    </row>
    <row r="12" spans="1:40" s="2" customFormat="1" ht="17.100000000000001" customHeight="1" thickBot="1" x14ac:dyDescent="0.4">
      <c r="A12" s="55">
        <v>9</v>
      </c>
      <c r="B12" s="57" t="s">
        <v>71</v>
      </c>
      <c r="C12" s="42" t="s">
        <v>14</v>
      </c>
      <c r="D12" s="42" t="s">
        <v>16</v>
      </c>
      <c r="E12" s="42" t="s">
        <v>16</v>
      </c>
      <c r="F12" s="42" t="s">
        <v>16</v>
      </c>
      <c r="G12" s="42" t="s">
        <v>16</v>
      </c>
      <c r="H12" s="42" t="s">
        <v>16</v>
      </c>
      <c r="I12" s="42" t="s">
        <v>16</v>
      </c>
      <c r="J12" s="42" t="s">
        <v>14</v>
      </c>
      <c r="K12" s="42" t="s">
        <v>16</v>
      </c>
      <c r="L12" s="42" t="s">
        <v>16</v>
      </c>
      <c r="M12" s="42" t="s">
        <v>16</v>
      </c>
      <c r="N12" s="42" t="s">
        <v>16</v>
      </c>
      <c r="O12" s="42" t="s">
        <v>16</v>
      </c>
      <c r="P12" s="42" t="s">
        <v>16</v>
      </c>
      <c r="Q12" s="42" t="s">
        <v>14</v>
      </c>
      <c r="R12" s="42" t="s">
        <v>16</v>
      </c>
      <c r="S12" s="42" t="s">
        <v>16</v>
      </c>
      <c r="T12" s="42" t="s">
        <v>16</v>
      </c>
      <c r="U12" s="42" t="s">
        <v>16</v>
      </c>
      <c r="V12" s="42" t="s">
        <v>16</v>
      </c>
      <c r="W12" s="42" t="s">
        <v>16</v>
      </c>
      <c r="X12" s="42" t="s">
        <v>14</v>
      </c>
      <c r="Y12" s="42" t="s">
        <v>17</v>
      </c>
      <c r="Z12" s="42" t="s">
        <v>17</v>
      </c>
      <c r="AA12" s="42" t="s">
        <v>16</v>
      </c>
      <c r="AB12" s="42" t="s">
        <v>16</v>
      </c>
      <c r="AC12" s="42" t="s">
        <v>16</v>
      </c>
      <c r="AD12" s="42" t="s">
        <v>16</v>
      </c>
      <c r="AE12" s="58">
        <f t="shared" si="6"/>
        <v>2</v>
      </c>
      <c r="AF12" s="29">
        <f t="shared" si="7"/>
        <v>4</v>
      </c>
      <c r="AG12" s="29">
        <f t="shared" si="8"/>
        <v>22</v>
      </c>
      <c r="AH12" s="30">
        <f t="shared" si="9"/>
        <v>26</v>
      </c>
      <c r="AI12" s="31">
        <f t="shared" si="5"/>
        <v>15321</v>
      </c>
      <c r="AJ12" s="13"/>
      <c r="AK12" s="1"/>
      <c r="AL12" s="1"/>
      <c r="AM12" s="1"/>
    </row>
    <row r="13" spans="1:40" s="2" customFormat="1" ht="17.100000000000001" customHeight="1" thickBot="1" x14ac:dyDescent="0.4">
      <c r="A13" s="56">
        <v>10</v>
      </c>
      <c r="B13" s="57" t="s">
        <v>70</v>
      </c>
      <c r="C13" s="42" t="s">
        <v>14</v>
      </c>
      <c r="D13" s="42" t="s">
        <v>16</v>
      </c>
      <c r="E13" s="42" t="s">
        <v>16</v>
      </c>
      <c r="F13" s="42" t="s">
        <v>16</v>
      </c>
      <c r="G13" s="42" t="s">
        <v>16</v>
      </c>
      <c r="H13" s="42" t="s">
        <v>16</v>
      </c>
      <c r="I13" s="42" t="s">
        <v>16</v>
      </c>
      <c r="J13" s="42" t="s">
        <v>14</v>
      </c>
      <c r="K13" s="42" t="s">
        <v>16</v>
      </c>
      <c r="L13" s="42" t="s">
        <v>16</v>
      </c>
      <c r="M13" s="42" t="s">
        <v>16</v>
      </c>
      <c r="N13" s="42" t="s">
        <v>16</v>
      </c>
      <c r="O13" s="42" t="s">
        <v>16</v>
      </c>
      <c r="P13" s="42" t="s">
        <v>16</v>
      </c>
      <c r="Q13" s="42" t="s">
        <v>14</v>
      </c>
      <c r="R13" s="42" t="s">
        <v>16</v>
      </c>
      <c r="S13" s="42" t="s">
        <v>16</v>
      </c>
      <c r="T13" s="42" t="s">
        <v>16</v>
      </c>
      <c r="U13" s="42" t="s">
        <v>16</v>
      </c>
      <c r="V13" s="42" t="s">
        <v>16</v>
      </c>
      <c r="W13" s="42" t="s">
        <v>16</v>
      </c>
      <c r="X13" s="42" t="s">
        <v>14</v>
      </c>
      <c r="Y13" s="42" t="s">
        <v>17</v>
      </c>
      <c r="Z13" s="42" t="s">
        <v>17</v>
      </c>
      <c r="AA13" s="42" t="s">
        <v>17</v>
      </c>
      <c r="AB13" s="42" t="s">
        <v>16</v>
      </c>
      <c r="AC13" s="42" t="s">
        <v>16</v>
      </c>
      <c r="AD13" s="42" t="s">
        <v>16</v>
      </c>
      <c r="AE13" s="58">
        <f t="shared" si="6"/>
        <v>3</v>
      </c>
      <c r="AF13" s="29">
        <f t="shared" si="7"/>
        <v>4</v>
      </c>
      <c r="AG13" s="29">
        <f t="shared" si="8"/>
        <v>21</v>
      </c>
      <c r="AH13" s="30">
        <f t="shared" si="9"/>
        <v>25</v>
      </c>
      <c r="AI13" s="31">
        <f t="shared" si="5"/>
        <v>14732</v>
      </c>
      <c r="AJ13" s="13"/>
      <c r="AK13" s="1"/>
      <c r="AL13" s="1"/>
      <c r="AM13" s="1"/>
    </row>
    <row r="14" spans="1:40" s="2" customFormat="1" ht="17.100000000000001" customHeight="1" thickBot="1" x14ac:dyDescent="0.4">
      <c r="A14" s="55">
        <v>11</v>
      </c>
      <c r="B14" s="57" t="s">
        <v>62</v>
      </c>
      <c r="C14" s="42" t="s">
        <v>14</v>
      </c>
      <c r="D14" s="42" t="s">
        <v>16</v>
      </c>
      <c r="E14" s="42" t="s">
        <v>16</v>
      </c>
      <c r="F14" s="42" t="s">
        <v>16</v>
      </c>
      <c r="G14" s="42" t="s">
        <v>16</v>
      </c>
      <c r="H14" s="42" t="s">
        <v>16</v>
      </c>
      <c r="I14" s="42" t="s">
        <v>16</v>
      </c>
      <c r="J14" s="42" t="s">
        <v>14</v>
      </c>
      <c r="K14" s="42" t="s">
        <v>16</v>
      </c>
      <c r="L14" s="42" t="s">
        <v>16</v>
      </c>
      <c r="M14" s="42" t="s">
        <v>17</v>
      </c>
      <c r="N14" s="42" t="s">
        <v>103</v>
      </c>
      <c r="O14" s="42" t="s">
        <v>103</v>
      </c>
      <c r="P14" s="42" t="s">
        <v>16</v>
      </c>
      <c r="Q14" s="42" t="s">
        <v>14</v>
      </c>
      <c r="R14" s="42" t="s">
        <v>16</v>
      </c>
      <c r="S14" s="42" t="s">
        <v>17</v>
      </c>
      <c r="T14" s="42" t="s">
        <v>17</v>
      </c>
      <c r="U14" s="42" t="s">
        <v>17</v>
      </c>
      <c r="V14" s="42" t="s">
        <v>17</v>
      </c>
      <c r="W14" s="42" t="s">
        <v>17</v>
      </c>
      <c r="X14" s="42" t="s">
        <v>14</v>
      </c>
      <c r="Y14" s="42" t="s">
        <v>17</v>
      </c>
      <c r="Z14" s="42" t="s">
        <v>17</v>
      </c>
      <c r="AA14" s="42" t="s">
        <v>16</v>
      </c>
      <c r="AB14" s="42" t="s">
        <v>16</v>
      </c>
      <c r="AC14" s="42" t="s">
        <v>17</v>
      </c>
      <c r="AD14" s="42" t="s">
        <v>16</v>
      </c>
      <c r="AE14" s="58">
        <f t="shared" si="6"/>
        <v>9</v>
      </c>
      <c r="AF14" s="29">
        <f t="shared" si="7"/>
        <v>4</v>
      </c>
      <c r="AG14" s="29">
        <f t="shared" si="8"/>
        <v>15</v>
      </c>
      <c r="AH14" s="30">
        <f t="shared" si="9"/>
        <v>19</v>
      </c>
      <c r="AI14" s="31">
        <f t="shared" si="5"/>
        <v>11196</v>
      </c>
      <c r="AJ14" s="13"/>
      <c r="AK14" s="1"/>
      <c r="AL14" s="1"/>
      <c r="AM14" s="1"/>
    </row>
    <row r="15" spans="1:40" s="2" customFormat="1" ht="17.100000000000001" customHeight="1" thickBot="1" x14ac:dyDescent="0.4">
      <c r="A15" s="56">
        <v>12</v>
      </c>
      <c r="B15" s="57" t="s">
        <v>102</v>
      </c>
      <c r="C15" s="42" t="s">
        <v>14</v>
      </c>
      <c r="D15" s="42" t="s">
        <v>16</v>
      </c>
      <c r="E15" s="42" t="s">
        <v>16</v>
      </c>
      <c r="F15" s="42" t="s">
        <v>16</v>
      </c>
      <c r="G15" s="42" t="s">
        <v>16</v>
      </c>
      <c r="H15" s="42" t="s">
        <v>16</v>
      </c>
      <c r="I15" s="42" t="s">
        <v>16</v>
      </c>
      <c r="J15" s="42" t="s">
        <v>14</v>
      </c>
      <c r="K15" s="42" t="s">
        <v>16</v>
      </c>
      <c r="L15" s="42" t="s">
        <v>16</v>
      </c>
      <c r="M15" s="42" t="s">
        <v>16</v>
      </c>
      <c r="N15" s="42" t="s">
        <v>16</v>
      </c>
      <c r="O15" s="42" t="s">
        <v>16</v>
      </c>
      <c r="P15" s="42" t="s">
        <v>16</v>
      </c>
      <c r="Q15" s="42" t="s">
        <v>14</v>
      </c>
      <c r="R15" s="42" t="s">
        <v>16</v>
      </c>
      <c r="S15" s="42" t="s">
        <v>16</v>
      </c>
      <c r="T15" s="42" t="s">
        <v>16</v>
      </c>
      <c r="U15" s="42" t="s">
        <v>16</v>
      </c>
      <c r="V15" s="42" t="s">
        <v>17</v>
      </c>
      <c r="W15" s="42" t="s">
        <v>16</v>
      </c>
      <c r="X15" s="42" t="s">
        <v>14</v>
      </c>
      <c r="Y15" s="42" t="s">
        <v>16</v>
      </c>
      <c r="Z15" s="42" t="s">
        <v>16</v>
      </c>
      <c r="AA15" s="42" t="s">
        <v>17</v>
      </c>
      <c r="AB15" s="42" t="s">
        <v>17</v>
      </c>
      <c r="AC15" s="42" t="s">
        <v>17</v>
      </c>
      <c r="AD15" s="42" t="s">
        <v>16</v>
      </c>
      <c r="AE15" s="58">
        <f t="shared" si="6"/>
        <v>4</v>
      </c>
      <c r="AF15" s="29">
        <f t="shared" si="7"/>
        <v>4</v>
      </c>
      <c r="AG15" s="29">
        <f t="shared" si="8"/>
        <v>20</v>
      </c>
      <c r="AH15" s="30">
        <f t="shared" si="9"/>
        <v>24</v>
      </c>
      <c r="AI15" s="31">
        <f t="shared" si="5"/>
        <v>14143</v>
      </c>
      <c r="AJ15" s="13"/>
      <c r="AK15" s="1"/>
      <c r="AL15" s="1"/>
      <c r="AM15" s="1"/>
    </row>
    <row r="16" spans="1:40" ht="17.100000000000001" customHeight="1" thickBot="1" x14ac:dyDescent="0.4">
      <c r="A16" s="55">
        <v>13</v>
      </c>
      <c r="B16" s="57" t="s">
        <v>100</v>
      </c>
      <c r="C16" s="42" t="s">
        <v>14</v>
      </c>
      <c r="D16" s="42" t="s">
        <v>16</v>
      </c>
      <c r="E16" s="42" t="s">
        <v>16</v>
      </c>
      <c r="F16" s="42" t="s">
        <v>16</v>
      </c>
      <c r="G16" s="42" t="s">
        <v>16</v>
      </c>
      <c r="H16" s="42" t="s">
        <v>16</v>
      </c>
      <c r="I16" s="42" t="s">
        <v>16</v>
      </c>
      <c r="J16" s="42" t="s">
        <v>14</v>
      </c>
      <c r="K16" s="42" t="s">
        <v>16</v>
      </c>
      <c r="L16" s="42" t="s">
        <v>16</v>
      </c>
      <c r="M16" s="42" t="s">
        <v>16</v>
      </c>
      <c r="N16" s="42" t="s">
        <v>16</v>
      </c>
      <c r="O16" s="42" t="s">
        <v>16</v>
      </c>
      <c r="P16" s="42" t="s">
        <v>16</v>
      </c>
      <c r="Q16" s="42" t="s">
        <v>14</v>
      </c>
      <c r="R16" s="42" t="s">
        <v>16</v>
      </c>
      <c r="S16" s="42" t="s">
        <v>16</v>
      </c>
      <c r="T16" s="42" t="s">
        <v>16</v>
      </c>
      <c r="U16" s="42" t="s">
        <v>16</v>
      </c>
      <c r="V16" s="42" t="s">
        <v>16</v>
      </c>
      <c r="W16" s="42" t="s">
        <v>16</v>
      </c>
      <c r="X16" s="42" t="s">
        <v>14</v>
      </c>
      <c r="Y16" s="42" t="s">
        <v>16</v>
      </c>
      <c r="Z16" s="42" t="s">
        <v>16</v>
      </c>
      <c r="AA16" s="42" t="s">
        <v>16</v>
      </c>
      <c r="AB16" s="42" t="s">
        <v>16</v>
      </c>
      <c r="AC16" s="42" t="s">
        <v>16</v>
      </c>
      <c r="AD16" s="42" t="s">
        <v>16</v>
      </c>
      <c r="AE16" s="58">
        <f t="shared" si="6"/>
        <v>0</v>
      </c>
      <c r="AF16" s="29">
        <f t="shared" si="7"/>
        <v>4</v>
      </c>
      <c r="AG16" s="29">
        <f t="shared" si="8"/>
        <v>24</v>
      </c>
      <c r="AH16" s="30">
        <f t="shared" si="9"/>
        <v>28</v>
      </c>
      <c r="AI16" s="31">
        <f t="shared" si="5"/>
        <v>16500</v>
      </c>
      <c r="AJ16" s="13"/>
      <c r="AK16" s="1"/>
    </row>
    <row r="17" spans="1:37" ht="17.100000000000001" customHeight="1" thickBot="1" x14ac:dyDescent="0.4">
      <c r="A17" s="56">
        <v>14</v>
      </c>
      <c r="B17" s="57" t="s">
        <v>2</v>
      </c>
      <c r="C17" s="42" t="s">
        <v>14</v>
      </c>
      <c r="D17" s="42" t="s">
        <v>16</v>
      </c>
      <c r="E17" s="42" t="s">
        <v>16</v>
      </c>
      <c r="F17" s="42" t="s">
        <v>16</v>
      </c>
      <c r="G17" s="42" t="s">
        <v>16</v>
      </c>
      <c r="H17" s="42" t="s">
        <v>16</v>
      </c>
      <c r="I17" s="42" t="s">
        <v>16</v>
      </c>
      <c r="J17" s="42" t="s">
        <v>14</v>
      </c>
      <c r="K17" s="42" t="s">
        <v>16</v>
      </c>
      <c r="L17" s="42" t="s">
        <v>16</v>
      </c>
      <c r="M17" s="42" t="s">
        <v>16</v>
      </c>
      <c r="N17" s="42" t="s">
        <v>16</v>
      </c>
      <c r="O17" s="42" t="s">
        <v>16</v>
      </c>
      <c r="P17" s="42" t="s">
        <v>16</v>
      </c>
      <c r="Q17" s="42" t="s">
        <v>14</v>
      </c>
      <c r="R17" s="42" t="s">
        <v>16</v>
      </c>
      <c r="S17" s="42" t="s">
        <v>16</v>
      </c>
      <c r="T17" s="42" t="s">
        <v>16</v>
      </c>
      <c r="U17" s="42" t="s">
        <v>16</v>
      </c>
      <c r="V17" s="42" t="s">
        <v>16</v>
      </c>
      <c r="W17" s="42" t="s">
        <v>16</v>
      </c>
      <c r="X17" s="42" t="s">
        <v>14</v>
      </c>
      <c r="Y17" s="42" t="s">
        <v>16</v>
      </c>
      <c r="Z17" s="42" t="s">
        <v>16</v>
      </c>
      <c r="AA17" s="42" t="s">
        <v>16</v>
      </c>
      <c r="AB17" s="42" t="s">
        <v>16</v>
      </c>
      <c r="AC17" s="42" t="s">
        <v>16</v>
      </c>
      <c r="AD17" s="42" t="s">
        <v>16</v>
      </c>
      <c r="AE17" s="58">
        <f t="shared" si="6"/>
        <v>0</v>
      </c>
      <c r="AF17" s="29">
        <f t="shared" si="7"/>
        <v>4</v>
      </c>
      <c r="AG17" s="29">
        <f t="shared" si="8"/>
        <v>24</v>
      </c>
      <c r="AH17" s="30">
        <f t="shared" si="9"/>
        <v>28</v>
      </c>
      <c r="AI17" s="31">
        <f t="shared" si="5"/>
        <v>16500</v>
      </c>
      <c r="AJ17" s="13"/>
      <c r="AK17" s="1"/>
    </row>
    <row r="18" spans="1:37" ht="17.100000000000001" customHeight="1" thickBot="1" x14ac:dyDescent="0.4">
      <c r="A18" s="55">
        <v>15</v>
      </c>
      <c r="B18" s="57" t="s">
        <v>3</v>
      </c>
      <c r="C18" s="42" t="s">
        <v>14</v>
      </c>
      <c r="D18" s="42" t="s">
        <v>16</v>
      </c>
      <c r="E18" s="42" t="s">
        <v>16</v>
      </c>
      <c r="F18" s="42" t="s">
        <v>16</v>
      </c>
      <c r="G18" s="42" t="s">
        <v>16</v>
      </c>
      <c r="H18" s="42" t="s">
        <v>16</v>
      </c>
      <c r="I18" s="42" t="s">
        <v>16</v>
      </c>
      <c r="J18" s="42" t="s">
        <v>14</v>
      </c>
      <c r="K18" s="42" t="s">
        <v>16</v>
      </c>
      <c r="L18" s="42" t="s">
        <v>16</v>
      </c>
      <c r="M18" s="42" t="s">
        <v>16</v>
      </c>
      <c r="N18" s="42" t="s">
        <v>16</v>
      </c>
      <c r="O18" s="42" t="s">
        <v>16</v>
      </c>
      <c r="P18" s="42" t="s">
        <v>16</v>
      </c>
      <c r="Q18" s="42" t="s">
        <v>14</v>
      </c>
      <c r="R18" s="42" t="s">
        <v>16</v>
      </c>
      <c r="S18" s="42" t="s">
        <v>16</v>
      </c>
      <c r="T18" s="42" t="s">
        <v>16</v>
      </c>
      <c r="U18" s="42" t="s">
        <v>16</v>
      </c>
      <c r="V18" s="42" t="s">
        <v>16</v>
      </c>
      <c r="W18" s="42" t="s">
        <v>16</v>
      </c>
      <c r="X18" s="42" t="s">
        <v>14</v>
      </c>
      <c r="Y18" s="42" t="s">
        <v>16</v>
      </c>
      <c r="Z18" s="42" t="s">
        <v>16</v>
      </c>
      <c r="AA18" s="42" t="s">
        <v>16</v>
      </c>
      <c r="AB18" s="42" t="s">
        <v>16</v>
      </c>
      <c r="AC18" s="42" t="s">
        <v>16</v>
      </c>
      <c r="AD18" s="42" t="s">
        <v>16</v>
      </c>
      <c r="AE18" s="58">
        <f t="shared" si="6"/>
        <v>0</v>
      </c>
      <c r="AF18" s="29">
        <f t="shared" si="7"/>
        <v>4</v>
      </c>
      <c r="AG18" s="29">
        <f t="shared" si="8"/>
        <v>24</v>
      </c>
      <c r="AH18" s="30">
        <f t="shared" si="9"/>
        <v>28</v>
      </c>
      <c r="AI18" s="31">
        <f t="shared" si="5"/>
        <v>16500</v>
      </c>
      <c r="AJ18" s="13"/>
      <c r="AK18" s="1"/>
    </row>
    <row r="19" spans="1:37" ht="17.100000000000001" customHeight="1" thickBot="1" x14ac:dyDescent="0.4">
      <c r="A19" s="56">
        <v>16</v>
      </c>
      <c r="B19" s="57" t="s">
        <v>111</v>
      </c>
      <c r="C19" s="42" t="s">
        <v>14</v>
      </c>
      <c r="D19" s="42" t="s">
        <v>16</v>
      </c>
      <c r="E19" s="42" t="s">
        <v>16</v>
      </c>
      <c r="F19" s="42" t="s">
        <v>16</v>
      </c>
      <c r="G19" s="42" t="s">
        <v>16</v>
      </c>
      <c r="H19" s="42" t="s">
        <v>16</v>
      </c>
      <c r="I19" s="42" t="s">
        <v>16</v>
      </c>
      <c r="J19" s="42" t="s">
        <v>14</v>
      </c>
      <c r="K19" s="42" t="s">
        <v>16</v>
      </c>
      <c r="L19" s="42" t="s">
        <v>16</v>
      </c>
      <c r="M19" s="42" t="s">
        <v>16</v>
      </c>
      <c r="N19" s="42" t="s">
        <v>16</v>
      </c>
      <c r="O19" s="42" t="s">
        <v>16</v>
      </c>
      <c r="P19" s="42" t="s">
        <v>16</v>
      </c>
      <c r="Q19" s="42" t="s">
        <v>14</v>
      </c>
      <c r="R19" s="42" t="s">
        <v>16</v>
      </c>
      <c r="S19" s="42" t="s">
        <v>16</v>
      </c>
      <c r="T19" s="42" t="s">
        <v>16</v>
      </c>
      <c r="U19" s="42" t="s">
        <v>16</v>
      </c>
      <c r="V19" s="42" t="s">
        <v>16</v>
      </c>
      <c r="W19" s="42" t="s">
        <v>16</v>
      </c>
      <c r="X19" s="42" t="s">
        <v>14</v>
      </c>
      <c r="Y19" s="42" t="s">
        <v>16</v>
      </c>
      <c r="Z19" s="42" t="s">
        <v>16</v>
      </c>
      <c r="AA19" s="42" t="s">
        <v>16</v>
      </c>
      <c r="AB19" s="42" t="s">
        <v>16</v>
      </c>
      <c r="AC19" s="42" t="s">
        <v>16</v>
      </c>
      <c r="AD19" s="42" t="s">
        <v>16</v>
      </c>
      <c r="AE19" s="58">
        <f t="shared" si="6"/>
        <v>0</v>
      </c>
      <c r="AF19" s="29">
        <f t="shared" si="7"/>
        <v>4</v>
      </c>
      <c r="AG19" s="29">
        <f t="shared" si="8"/>
        <v>24</v>
      </c>
      <c r="AH19" s="30">
        <f t="shared" si="9"/>
        <v>28</v>
      </c>
      <c r="AI19" s="31">
        <f t="shared" si="5"/>
        <v>16500</v>
      </c>
      <c r="AJ19" s="13"/>
      <c r="AK19" s="1"/>
    </row>
    <row r="20" spans="1:37" ht="17.100000000000001" customHeight="1" thickBot="1" x14ac:dyDescent="0.4">
      <c r="A20" s="55">
        <v>17</v>
      </c>
      <c r="B20" s="57" t="s">
        <v>26</v>
      </c>
      <c r="C20" s="42" t="s">
        <v>14</v>
      </c>
      <c r="D20" s="42" t="s">
        <v>16</v>
      </c>
      <c r="E20" s="42" t="s">
        <v>16</v>
      </c>
      <c r="F20" s="42" t="s">
        <v>16</v>
      </c>
      <c r="G20" s="42" t="s">
        <v>16</v>
      </c>
      <c r="H20" s="42" t="s">
        <v>16</v>
      </c>
      <c r="I20" s="42" t="s">
        <v>16</v>
      </c>
      <c r="J20" s="42" t="s">
        <v>14</v>
      </c>
      <c r="K20" s="42" t="s">
        <v>16</v>
      </c>
      <c r="L20" s="42" t="s">
        <v>16</v>
      </c>
      <c r="M20" s="42" t="s">
        <v>16</v>
      </c>
      <c r="N20" s="42" t="s">
        <v>16</v>
      </c>
      <c r="O20" s="42" t="s">
        <v>16</v>
      </c>
      <c r="P20" s="42" t="s">
        <v>16</v>
      </c>
      <c r="Q20" s="42" t="s">
        <v>14</v>
      </c>
      <c r="R20" s="42" t="s">
        <v>16</v>
      </c>
      <c r="S20" s="42" t="s">
        <v>16</v>
      </c>
      <c r="T20" s="42" t="s">
        <v>16</v>
      </c>
      <c r="U20" s="42" t="s">
        <v>16</v>
      </c>
      <c r="V20" s="42" t="s">
        <v>16</v>
      </c>
      <c r="W20" s="42" t="s">
        <v>16</v>
      </c>
      <c r="X20" s="42" t="s">
        <v>14</v>
      </c>
      <c r="Y20" s="42" t="s">
        <v>16</v>
      </c>
      <c r="Z20" s="42" t="s">
        <v>16</v>
      </c>
      <c r="AA20" s="42" t="s">
        <v>16</v>
      </c>
      <c r="AB20" s="42" t="s">
        <v>16</v>
      </c>
      <c r="AC20" s="42" t="s">
        <v>16</v>
      </c>
      <c r="AD20" s="42" t="s">
        <v>16</v>
      </c>
      <c r="AE20" s="58">
        <f t="shared" si="6"/>
        <v>0</v>
      </c>
      <c r="AF20" s="29">
        <f t="shared" si="7"/>
        <v>4</v>
      </c>
      <c r="AG20" s="29">
        <f t="shared" si="8"/>
        <v>24</v>
      </c>
      <c r="AH20" s="30">
        <f t="shared" si="9"/>
        <v>28</v>
      </c>
      <c r="AI20" s="31">
        <f t="shared" si="5"/>
        <v>16500</v>
      </c>
      <c r="AJ20" s="13"/>
      <c r="AK20" s="1"/>
    </row>
    <row r="21" spans="1:37" ht="17.100000000000001" customHeight="1" thickBot="1" x14ac:dyDescent="0.4">
      <c r="A21" s="56">
        <v>18</v>
      </c>
      <c r="B21" s="57" t="s">
        <v>23</v>
      </c>
      <c r="C21" s="42" t="s">
        <v>14</v>
      </c>
      <c r="D21" s="42" t="s">
        <v>16</v>
      </c>
      <c r="E21" s="42" t="s">
        <v>16</v>
      </c>
      <c r="F21" s="42" t="s">
        <v>16</v>
      </c>
      <c r="G21" s="42" t="s">
        <v>16</v>
      </c>
      <c r="H21" s="42" t="s">
        <v>16</v>
      </c>
      <c r="I21" s="42" t="s">
        <v>16</v>
      </c>
      <c r="J21" s="42" t="s">
        <v>14</v>
      </c>
      <c r="K21" s="42" t="s">
        <v>16</v>
      </c>
      <c r="L21" s="42" t="s">
        <v>16</v>
      </c>
      <c r="M21" s="42" t="s">
        <v>16</v>
      </c>
      <c r="N21" s="42" t="s">
        <v>16</v>
      </c>
      <c r="O21" s="42" t="s">
        <v>16</v>
      </c>
      <c r="P21" s="42" t="s">
        <v>17</v>
      </c>
      <c r="Q21" s="42" t="s">
        <v>14</v>
      </c>
      <c r="R21" s="42" t="s">
        <v>16</v>
      </c>
      <c r="S21" s="42" t="s">
        <v>16</v>
      </c>
      <c r="T21" s="42" t="s">
        <v>16</v>
      </c>
      <c r="U21" s="42" t="s">
        <v>16</v>
      </c>
      <c r="V21" s="42" t="s">
        <v>16</v>
      </c>
      <c r="W21" s="42" t="s">
        <v>16</v>
      </c>
      <c r="X21" s="42" t="s">
        <v>14</v>
      </c>
      <c r="Y21" s="42" t="s">
        <v>16</v>
      </c>
      <c r="Z21" s="42" t="s">
        <v>16</v>
      </c>
      <c r="AA21" s="42" t="s">
        <v>16</v>
      </c>
      <c r="AB21" s="42" t="s">
        <v>16</v>
      </c>
      <c r="AC21" s="42" t="s">
        <v>16</v>
      </c>
      <c r="AD21" s="42" t="s">
        <v>16</v>
      </c>
      <c r="AE21" s="58">
        <f t="shared" si="6"/>
        <v>1</v>
      </c>
      <c r="AF21" s="29">
        <f t="shared" si="7"/>
        <v>4</v>
      </c>
      <c r="AG21" s="29">
        <f t="shared" si="8"/>
        <v>23</v>
      </c>
      <c r="AH21" s="30">
        <f t="shared" si="9"/>
        <v>27</v>
      </c>
      <c r="AI21" s="31">
        <f t="shared" si="5"/>
        <v>15911</v>
      </c>
      <c r="AJ21" s="13"/>
      <c r="AK21" s="1"/>
    </row>
    <row r="22" spans="1:37" ht="17.100000000000001" customHeight="1" thickBot="1" x14ac:dyDescent="0.4">
      <c r="A22" s="55">
        <v>19</v>
      </c>
      <c r="B22" s="57" t="s">
        <v>56</v>
      </c>
      <c r="C22" s="42" t="s">
        <v>14</v>
      </c>
      <c r="D22" s="42" t="s">
        <v>16</v>
      </c>
      <c r="E22" s="42" t="s">
        <v>16</v>
      </c>
      <c r="F22" s="42" t="s">
        <v>16</v>
      </c>
      <c r="G22" s="42" t="s">
        <v>16</v>
      </c>
      <c r="H22" s="42" t="s">
        <v>16</v>
      </c>
      <c r="I22" s="42" t="s">
        <v>16</v>
      </c>
      <c r="J22" s="42" t="s">
        <v>14</v>
      </c>
      <c r="K22" s="42" t="s">
        <v>16</v>
      </c>
      <c r="L22" s="42" t="s">
        <v>16</v>
      </c>
      <c r="M22" s="42" t="s">
        <v>16</v>
      </c>
      <c r="N22" s="42" t="s">
        <v>16</v>
      </c>
      <c r="O22" s="42" t="s">
        <v>16</v>
      </c>
      <c r="P22" s="42" t="s">
        <v>16</v>
      </c>
      <c r="Q22" s="42" t="s">
        <v>14</v>
      </c>
      <c r="R22" s="42" t="s">
        <v>16</v>
      </c>
      <c r="S22" s="42" t="s">
        <v>17</v>
      </c>
      <c r="T22" s="42" t="s">
        <v>17</v>
      </c>
      <c r="U22" s="42" t="s">
        <v>17</v>
      </c>
      <c r="V22" s="42" t="s">
        <v>17</v>
      </c>
      <c r="W22" s="42" t="s">
        <v>17</v>
      </c>
      <c r="X22" s="42" t="s">
        <v>14</v>
      </c>
      <c r="Y22" s="42" t="s">
        <v>16</v>
      </c>
      <c r="Z22" s="42" t="s">
        <v>16</v>
      </c>
      <c r="AA22" s="42" t="s">
        <v>16</v>
      </c>
      <c r="AB22" s="42" t="s">
        <v>16</v>
      </c>
      <c r="AC22" s="42" t="s">
        <v>16</v>
      </c>
      <c r="AD22" s="42" t="s">
        <v>16</v>
      </c>
      <c r="AE22" s="58">
        <f t="shared" si="6"/>
        <v>5</v>
      </c>
      <c r="AF22" s="29">
        <f t="shared" si="7"/>
        <v>4</v>
      </c>
      <c r="AG22" s="29">
        <f t="shared" si="8"/>
        <v>19</v>
      </c>
      <c r="AH22" s="30">
        <f t="shared" si="9"/>
        <v>23</v>
      </c>
      <c r="AI22" s="31">
        <f t="shared" si="5"/>
        <v>13554</v>
      </c>
      <c r="AJ22" s="13"/>
      <c r="AK22" s="1"/>
    </row>
    <row r="23" spans="1:37" ht="17.100000000000001" customHeight="1" thickBot="1" x14ac:dyDescent="0.4">
      <c r="A23" s="56">
        <v>20</v>
      </c>
      <c r="B23" s="57" t="s">
        <v>64</v>
      </c>
      <c r="C23" s="42" t="s">
        <v>14</v>
      </c>
      <c r="D23" s="42" t="s">
        <v>16</v>
      </c>
      <c r="E23" s="42" t="s">
        <v>16</v>
      </c>
      <c r="F23" s="42" t="s">
        <v>16</v>
      </c>
      <c r="G23" s="42" t="s">
        <v>16</v>
      </c>
      <c r="H23" s="42" t="s">
        <v>16</v>
      </c>
      <c r="I23" s="42" t="s">
        <v>16</v>
      </c>
      <c r="J23" s="42" t="s">
        <v>14</v>
      </c>
      <c r="K23" s="42" t="s">
        <v>16</v>
      </c>
      <c r="L23" s="42" t="s">
        <v>16</v>
      </c>
      <c r="M23" s="42" t="s">
        <v>16</v>
      </c>
      <c r="N23" s="42" t="s">
        <v>16</v>
      </c>
      <c r="O23" s="42" t="s">
        <v>16</v>
      </c>
      <c r="P23" s="42" t="s">
        <v>16</v>
      </c>
      <c r="Q23" s="42" t="s">
        <v>14</v>
      </c>
      <c r="R23" s="42" t="s">
        <v>16</v>
      </c>
      <c r="S23" s="42" t="s">
        <v>16</v>
      </c>
      <c r="T23" s="42" t="s">
        <v>16</v>
      </c>
      <c r="U23" s="42" t="s">
        <v>16</v>
      </c>
      <c r="V23" s="42" t="s">
        <v>16</v>
      </c>
      <c r="W23" s="42" t="s">
        <v>16</v>
      </c>
      <c r="X23" s="42" t="s">
        <v>14</v>
      </c>
      <c r="Y23" s="42" t="s">
        <v>16</v>
      </c>
      <c r="Z23" s="42" t="s">
        <v>16</v>
      </c>
      <c r="AA23" s="42" t="s">
        <v>16</v>
      </c>
      <c r="AB23" s="42" t="s">
        <v>16</v>
      </c>
      <c r="AC23" s="42" t="s">
        <v>16</v>
      </c>
      <c r="AD23" s="42" t="s">
        <v>16</v>
      </c>
      <c r="AE23" s="58">
        <f t="shared" si="6"/>
        <v>0</v>
      </c>
      <c r="AF23" s="29">
        <f t="shared" si="7"/>
        <v>4</v>
      </c>
      <c r="AG23" s="29">
        <f t="shared" si="8"/>
        <v>24</v>
      </c>
      <c r="AH23" s="30">
        <f t="shared" si="9"/>
        <v>28</v>
      </c>
      <c r="AI23" s="31">
        <f t="shared" si="5"/>
        <v>16500</v>
      </c>
      <c r="AJ23" s="13"/>
      <c r="AK23" s="1"/>
    </row>
    <row r="24" spans="1:37" ht="17.100000000000001" customHeight="1" thickBot="1" x14ac:dyDescent="0.4">
      <c r="A24" s="55">
        <v>21</v>
      </c>
      <c r="B24" s="57" t="s">
        <v>28</v>
      </c>
      <c r="C24" s="42" t="s">
        <v>14</v>
      </c>
      <c r="D24" s="42" t="s">
        <v>16</v>
      </c>
      <c r="E24" s="42" t="s">
        <v>16</v>
      </c>
      <c r="F24" s="42" t="s">
        <v>16</v>
      </c>
      <c r="G24" s="42" t="s">
        <v>16</v>
      </c>
      <c r="H24" s="42" t="s">
        <v>16</v>
      </c>
      <c r="I24" s="42" t="s">
        <v>16</v>
      </c>
      <c r="J24" s="42" t="s">
        <v>17</v>
      </c>
      <c r="K24" s="42" t="s">
        <v>17</v>
      </c>
      <c r="L24" s="42" t="s">
        <v>17</v>
      </c>
      <c r="M24" s="42" t="s">
        <v>17</v>
      </c>
      <c r="N24" s="42" t="s">
        <v>17</v>
      </c>
      <c r="O24" s="42" t="s">
        <v>17</v>
      </c>
      <c r="P24" s="42" t="s">
        <v>17</v>
      </c>
      <c r="Q24" s="42" t="s">
        <v>17</v>
      </c>
      <c r="R24" s="42" t="s">
        <v>17</v>
      </c>
      <c r="S24" s="42" t="s">
        <v>17</v>
      </c>
      <c r="T24" s="42" t="s">
        <v>17</v>
      </c>
      <c r="U24" s="42" t="s">
        <v>17</v>
      </c>
      <c r="V24" s="42" t="s">
        <v>17</v>
      </c>
      <c r="W24" s="42" t="s">
        <v>17</v>
      </c>
      <c r="X24" s="42" t="s">
        <v>17</v>
      </c>
      <c r="Y24" s="42" t="s">
        <v>17</v>
      </c>
      <c r="Z24" s="42" t="s">
        <v>17</v>
      </c>
      <c r="AA24" s="42" t="s">
        <v>17</v>
      </c>
      <c r="AB24" s="42" t="s">
        <v>17</v>
      </c>
      <c r="AC24" s="42" t="s">
        <v>17</v>
      </c>
      <c r="AD24" s="42" t="s">
        <v>17</v>
      </c>
      <c r="AE24" s="58">
        <f t="shared" si="6"/>
        <v>21</v>
      </c>
      <c r="AF24" s="29">
        <f t="shared" si="7"/>
        <v>1</v>
      </c>
      <c r="AG24" s="29">
        <f t="shared" si="8"/>
        <v>6</v>
      </c>
      <c r="AH24" s="30">
        <f t="shared" si="9"/>
        <v>7</v>
      </c>
      <c r="AI24" s="31">
        <f t="shared" si="5"/>
        <v>4125</v>
      </c>
      <c r="AJ24" s="13"/>
      <c r="AK24" s="1"/>
    </row>
    <row r="25" spans="1:37" ht="17.100000000000001" customHeight="1" thickBot="1" x14ac:dyDescent="0.4">
      <c r="A25" s="56">
        <v>22</v>
      </c>
      <c r="B25" s="57" t="s">
        <v>11</v>
      </c>
      <c r="C25" s="42" t="s">
        <v>14</v>
      </c>
      <c r="D25" s="42" t="s">
        <v>17</v>
      </c>
      <c r="E25" s="42" t="s">
        <v>17</v>
      </c>
      <c r="F25" s="42" t="s">
        <v>17</v>
      </c>
      <c r="G25" s="42" t="s">
        <v>17</v>
      </c>
      <c r="H25" s="42" t="s">
        <v>17</v>
      </c>
      <c r="I25" s="42" t="s">
        <v>17</v>
      </c>
      <c r="J25" s="42" t="s">
        <v>14</v>
      </c>
      <c r="K25" s="42" t="s">
        <v>16</v>
      </c>
      <c r="L25" s="42" t="s">
        <v>16</v>
      </c>
      <c r="M25" s="42" t="s">
        <v>16</v>
      </c>
      <c r="N25" s="42" t="s">
        <v>16</v>
      </c>
      <c r="O25" s="42" t="s">
        <v>16</v>
      </c>
      <c r="P25" s="42" t="s">
        <v>16</v>
      </c>
      <c r="Q25" s="42" t="s">
        <v>14</v>
      </c>
      <c r="R25" s="42" t="s">
        <v>16</v>
      </c>
      <c r="S25" s="42" t="s">
        <v>16</v>
      </c>
      <c r="T25" s="42" t="s">
        <v>16</v>
      </c>
      <c r="U25" s="42" t="s">
        <v>16</v>
      </c>
      <c r="V25" s="42" t="s">
        <v>16</v>
      </c>
      <c r="W25" s="42" t="s">
        <v>16</v>
      </c>
      <c r="X25" s="42" t="s">
        <v>14</v>
      </c>
      <c r="Y25" s="42" t="s">
        <v>16</v>
      </c>
      <c r="Z25" s="42" t="s">
        <v>16</v>
      </c>
      <c r="AA25" s="42" t="s">
        <v>16</v>
      </c>
      <c r="AB25" s="42" t="s">
        <v>16</v>
      </c>
      <c r="AC25" s="42" t="s">
        <v>17</v>
      </c>
      <c r="AD25" s="42" t="s">
        <v>16</v>
      </c>
      <c r="AE25" s="58">
        <f t="shared" si="6"/>
        <v>7</v>
      </c>
      <c r="AF25" s="29">
        <f t="shared" si="7"/>
        <v>4</v>
      </c>
      <c r="AG25" s="29">
        <f t="shared" si="8"/>
        <v>17</v>
      </c>
      <c r="AH25" s="30">
        <f t="shared" si="9"/>
        <v>21</v>
      </c>
      <c r="AI25" s="31">
        <f t="shared" si="5"/>
        <v>12375</v>
      </c>
      <c r="AJ25" s="13"/>
      <c r="AK25" s="1"/>
    </row>
    <row r="26" spans="1:37" ht="17.100000000000001" customHeight="1" thickBot="1" x14ac:dyDescent="0.4">
      <c r="A26" s="55">
        <v>23</v>
      </c>
      <c r="B26" s="57" t="s">
        <v>52</v>
      </c>
      <c r="C26" s="42" t="s">
        <v>14</v>
      </c>
      <c r="D26" s="42" t="s">
        <v>16</v>
      </c>
      <c r="E26" s="42" t="s">
        <v>16</v>
      </c>
      <c r="F26" s="42" t="s">
        <v>16</v>
      </c>
      <c r="G26" s="42" t="s">
        <v>16</v>
      </c>
      <c r="H26" s="42" t="s">
        <v>16</v>
      </c>
      <c r="I26" s="42" t="s">
        <v>16</v>
      </c>
      <c r="J26" s="42" t="s">
        <v>14</v>
      </c>
      <c r="K26" s="42" t="s">
        <v>16</v>
      </c>
      <c r="L26" s="42" t="s">
        <v>16</v>
      </c>
      <c r="M26" s="42" t="s">
        <v>16</v>
      </c>
      <c r="N26" s="42" t="s">
        <v>16</v>
      </c>
      <c r="O26" s="42" t="s">
        <v>16</v>
      </c>
      <c r="P26" s="42" t="s">
        <v>16</v>
      </c>
      <c r="Q26" s="42" t="s">
        <v>14</v>
      </c>
      <c r="R26" s="42" t="s">
        <v>16</v>
      </c>
      <c r="S26" s="42" t="s">
        <v>16</v>
      </c>
      <c r="T26" s="42" t="s">
        <v>16</v>
      </c>
      <c r="U26" s="42" t="s">
        <v>16</v>
      </c>
      <c r="V26" s="42" t="s">
        <v>16</v>
      </c>
      <c r="W26" s="42" t="s">
        <v>16</v>
      </c>
      <c r="X26" s="42" t="s">
        <v>14</v>
      </c>
      <c r="Y26" s="42" t="s">
        <v>16</v>
      </c>
      <c r="Z26" s="42" t="s">
        <v>16</v>
      </c>
      <c r="AA26" s="42" t="s">
        <v>16</v>
      </c>
      <c r="AB26" s="42" t="s">
        <v>16</v>
      </c>
      <c r="AC26" s="42" t="s">
        <v>16</v>
      </c>
      <c r="AD26" s="42" t="s">
        <v>16</v>
      </c>
      <c r="AE26" s="58">
        <f t="shared" si="6"/>
        <v>0</v>
      </c>
      <c r="AF26" s="29">
        <f t="shared" si="7"/>
        <v>4</v>
      </c>
      <c r="AG26" s="29">
        <f t="shared" si="8"/>
        <v>24</v>
      </c>
      <c r="AH26" s="30">
        <f t="shared" si="9"/>
        <v>28</v>
      </c>
      <c r="AI26" s="31">
        <f t="shared" si="5"/>
        <v>16500</v>
      </c>
      <c r="AJ26" s="13"/>
      <c r="AK26" s="1"/>
    </row>
    <row r="27" spans="1:37" ht="17.100000000000001" customHeight="1" thickBot="1" x14ac:dyDescent="0.4">
      <c r="A27" s="56">
        <v>24</v>
      </c>
      <c r="B27" s="57" t="s">
        <v>27</v>
      </c>
      <c r="C27" s="42" t="s">
        <v>14</v>
      </c>
      <c r="D27" s="42" t="s">
        <v>16</v>
      </c>
      <c r="E27" s="42" t="s">
        <v>16</v>
      </c>
      <c r="F27" s="42" t="s">
        <v>16</v>
      </c>
      <c r="G27" s="42" t="s">
        <v>16</v>
      </c>
      <c r="H27" s="42" t="s">
        <v>16</v>
      </c>
      <c r="I27" s="42" t="s">
        <v>16</v>
      </c>
      <c r="J27" s="42" t="s">
        <v>14</v>
      </c>
      <c r="K27" s="42" t="s">
        <v>16</v>
      </c>
      <c r="L27" s="42" t="s">
        <v>16</v>
      </c>
      <c r="M27" s="42" t="s">
        <v>16</v>
      </c>
      <c r="N27" s="42" t="s">
        <v>16</v>
      </c>
      <c r="O27" s="42" t="s">
        <v>16</v>
      </c>
      <c r="P27" s="42" t="s">
        <v>16</v>
      </c>
      <c r="Q27" s="42" t="s">
        <v>14</v>
      </c>
      <c r="R27" s="42" t="s">
        <v>16</v>
      </c>
      <c r="S27" s="42" t="s">
        <v>16</v>
      </c>
      <c r="T27" s="42" t="s">
        <v>16</v>
      </c>
      <c r="U27" s="42" t="s">
        <v>16</v>
      </c>
      <c r="V27" s="42" t="s">
        <v>16</v>
      </c>
      <c r="W27" s="42" t="s">
        <v>16</v>
      </c>
      <c r="X27" s="42" t="s">
        <v>14</v>
      </c>
      <c r="Y27" s="42" t="s">
        <v>16</v>
      </c>
      <c r="Z27" s="42" t="s">
        <v>16</v>
      </c>
      <c r="AA27" s="42" t="s">
        <v>16</v>
      </c>
      <c r="AB27" s="42" t="s">
        <v>16</v>
      </c>
      <c r="AC27" s="42" t="s">
        <v>16</v>
      </c>
      <c r="AD27" s="42" t="s">
        <v>16</v>
      </c>
      <c r="AE27" s="58">
        <f t="shared" si="6"/>
        <v>0</v>
      </c>
      <c r="AF27" s="29">
        <f t="shared" si="7"/>
        <v>4</v>
      </c>
      <c r="AG27" s="29">
        <f t="shared" si="8"/>
        <v>24</v>
      </c>
      <c r="AH27" s="30">
        <f t="shared" si="9"/>
        <v>28</v>
      </c>
      <c r="AI27" s="31">
        <f t="shared" si="5"/>
        <v>16500</v>
      </c>
      <c r="AJ27" s="13"/>
      <c r="AK27" s="1"/>
    </row>
    <row r="28" spans="1:37" ht="17.100000000000001" customHeight="1" thickBot="1" x14ac:dyDescent="0.4">
      <c r="A28" s="55">
        <v>25</v>
      </c>
      <c r="B28" s="57" t="s">
        <v>105</v>
      </c>
      <c r="C28" s="42" t="s">
        <v>14</v>
      </c>
      <c r="D28" s="42" t="s">
        <v>17</v>
      </c>
      <c r="E28" s="42" t="s">
        <v>16</v>
      </c>
      <c r="F28" s="42" t="s">
        <v>16</v>
      </c>
      <c r="G28" s="42" t="s">
        <v>16</v>
      </c>
      <c r="H28" s="42" t="s">
        <v>16</v>
      </c>
      <c r="I28" s="42" t="s">
        <v>16</v>
      </c>
      <c r="J28" s="42" t="s">
        <v>14</v>
      </c>
      <c r="K28" s="42" t="s">
        <v>16</v>
      </c>
      <c r="L28" s="42" t="s">
        <v>16</v>
      </c>
      <c r="M28" s="42" t="s">
        <v>16</v>
      </c>
      <c r="N28" s="42" t="s">
        <v>16</v>
      </c>
      <c r="O28" s="42" t="s">
        <v>16</v>
      </c>
      <c r="P28" s="42" t="s">
        <v>17</v>
      </c>
      <c r="Q28" s="42" t="s">
        <v>14</v>
      </c>
      <c r="R28" s="42" t="s">
        <v>17</v>
      </c>
      <c r="S28" s="42" t="s">
        <v>17</v>
      </c>
      <c r="T28" s="42" t="s">
        <v>16</v>
      </c>
      <c r="U28" s="42" t="s">
        <v>16</v>
      </c>
      <c r="V28" s="42" t="s">
        <v>16</v>
      </c>
      <c r="W28" s="42" t="s">
        <v>16</v>
      </c>
      <c r="X28" s="42" t="s">
        <v>14</v>
      </c>
      <c r="Y28" s="42" t="s">
        <v>16</v>
      </c>
      <c r="Z28" s="42" t="s">
        <v>16</v>
      </c>
      <c r="AA28" s="42" t="s">
        <v>16</v>
      </c>
      <c r="AB28" s="42" t="s">
        <v>16</v>
      </c>
      <c r="AC28" s="42" t="s">
        <v>16</v>
      </c>
      <c r="AD28" s="42" t="s">
        <v>16</v>
      </c>
      <c r="AE28" s="58">
        <f t="shared" si="6"/>
        <v>4</v>
      </c>
      <c r="AF28" s="29">
        <f t="shared" si="7"/>
        <v>4</v>
      </c>
      <c r="AG28" s="29">
        <f t="shared" si="8"/>
        <v>20</v>
      </c>
      <c r="AH28" s="30">
        <f t="shared" si="9"/>
        <v>24</v>
      </c>
      <c r="AI28" s="31">
        <f t="shared" si="5"/>
        <v>14143</v>
      </c>
      <c r="AJ28" s="13"/>
      <c r="AK28" s="1"/>
    </row>
    <row r="29" spans="1:37" ht="17.100000000000001" customHeight="1" thickBot="1" x14ac:dyDescent="0.4">
      <c r="A29" s="56">
        <v>26</v>
      </c>
      <c r="B29" s="57" t="s">
        <v>122</v>
      </c>
      <c r="C29" s="42" t="s">
        <v>14</v>
      </c>
      <c r="D29" s="42" t="s">
        <v>16</v>
      </c>
      <c r="E29" s="42" t="s">
        <v>16</v>
      </c>
      <c r="F29" s="42" t="s">
        <v>16</v>
      </c>
      <c r="G29" s="42" t="s">
        <v>16</v>
      </c>
      <c r="H29" s="42" t="s">
        <v>16</v>
      </c>
      <c r="I29" s="42" t="s">
        <v>16</v>
      </c>
      <c r="J29" s="42" t="s">
        <v>14</v>
      </c>
      <c r="K29" s="42" t="s">
        <v>17</v>
      </c>
      <c r="L29" s="42" t="s">
        <v>16</v>
      </c>
      <c r="M29" s="42" t="s">
        <v>16</v>
      </c>
      <c r="N29" s="42" t="s">
        <v>16</v>
      </c>
      <c r="O29" s="42" t="s">
        <v>16</v>
      </c>
      <c r="P29" s="42" t="s">
        <v>16</v>
      </c>
      <c r="Q29" s="42" t="s">
        <v>14</v>
      </c>
      <c r="R29" s="42" t="s">
        <v>16</v>
      </c>
      <c r="S29" s="42" t="s">
        <v>16</v>
      </c>
      <c r="T29" s="42" t="s">
        <v>16</v>
      </c>
      <c r="U29" s="42" t="s">
        <v>16</v>
      </c>
      <c r="V29" s="42" t="s">
        <v>16</v>
      </c>
      <c r="W29" s="42" t="s">
        <v>17</v>
      </c>
      <c r="X29" s="42" t="s">
        <v>14</v>
      </c>
      <c r="Y29" s="42" t="s">
        <v>16</v>
      </c>
      <c r="Z29" s="42" t="s">
        <v>16</v>
      </c>
      <c r="AA29" s="42" t="s">
        <v>16</v>
      </c>
      <c r="AB29" s="42" t="s">
        <v>16</v>
      </c>
      <c r="AC29" s="42" t="s">
        <v>16</v>
      </c>
      <c r="AD29" s="42" t="s">
        <v>16</v>
      </c>
      <c r="AE29" s="58">
        <f t="shared" si="6"/>
        <v>2</v>
      </c>
      <c r="AF29" s="29">
        <f t="shared" si="7"/>
        <v>4</v>
      </c>
      <c r="AG29" s="29">
        <f t="shared" si="8"/>
        <v>22</v>
      </c>
      <c r="AH29" s="30">
        <f t="shared" si="9"/>
        <v>26</v>
      </c>
      <c r="AI29" s="31">
        <f t="shared" si="5"/>
        <v>15321</v>
      </c>
      <c r="AJ29" s="13"/>
      <c r="AK29" s="1"/>
    </row>
    <row r="30" spans="1:37" ht="17.100000000000001" customHeight="1" thickBot="1" x14ac:dyDescent="0.4">
      <c r="A30" s="55">
        <v>27</v>
      </c>
      <c r="B30" s="57" t="s">
        <v>30</v>
      </c>
      <c r="C30" s="42" t="s">
        <v>14</v>
      </c>
      <c r="D30" s="42" t="s">
        <v>16</v>
      </c>
      <c r="E30" s="42" t="s">
        <v>16</v>
      </c>
      <c r="F30" s="42" t="s">
        <v>16</v>
      </c>
      <c r="G30" s="42" t="s">
        <v>16</v>
      </c>
      <c r="H30" s="42" t="s">
        <v>16</v>
      </c>
      <c r="I30" s="42" t="s">
        <v>16</v>
      </c>
      <c r="J30" s="42" t="s">
        <v>14</v>
      </c>
      <c r="K30" s="42" t="s">
        <v>16</v>
      </c>
      <c r="L30" s="42" t="s">
        <v>16</v>
      </c>
      <c r="M30" s="42" t="s">
        <v>16</v>
      </c>
      <c r="N30" s="42" t="s">
        <v>16</v>
      </c>
      <c r="O30" s="42" t="s">
        <v>16</v>
      </c>
      <c r="P30" s="42" t="s">
        <v>16</v>
      </c>
      <c r="Q30" s="42" t="s">
        <v>14</v>
      </c>
      <c r="R30" s="42" t="s">
        <v>16</v>
      </c>
      <c r="S30" s="42" t="s">
        <v>17</v>
      </c>
      <c r="T30" s="42" t="s">
        <v>16</v>
      </c>
      <c r="U30" s="42" t="s">
        <v>16</v>
      </c>
      <c r="V30" s="42" t="s">
        <v>16</v>
      </c>
      <c r="W30" s="42" t="s">
        <v>16</v>
      </c>
      <c r="X30" s="42" t="s">
        <v>14</v>
      </c>
      <c r="Y30" s="42" t="s">
        <v>16</v>
      </c>
      <c r="Z30" s="42" t="s">
        <v>16</v>
      </c>
      <c r="AA30" s="42" t="s">
        <v>17</v>
      </c>
      <c r="AB30" s="42" t="s">
        <v>16</v>
      </c>
      <c r="AC30" s="42" t="s">
        <v>16</v>
      </c>
      <c r="AD30" s="42" t="s">
        <v>16</v>
      </c>
      <c r="AE30" s="58">
        <f t="shared" si="6"/>
        <v>2</v>
      </c>
      <c r="AF30" s="29">
        <f t="shared" si="7"/>
        <v>4</v>
      </c>
      <c r="AG30" s="29">
        <f t="shared" si="8"/>
        <v>22</v>
      </c>
      <c r="AH30" s="30">
        <f t="shared" si="9"/>
        <v>26</v>
      </c>
      <c r="AI30" s="31">
        <f t="shared" si="5"/>
        <v>15321</v>
      </c>
      <c r="AJ30" s="13"/>
      <c r="AK30" s="1"/>
    </row>
    <row r="31" spans="1:37" ht="17.100000000000001" customHeight="1" thickBot="1" x14ac:dyDescent="0.4">
      <c r="A31" s="56">
        <v>28</v>
      </c>
      <c r="B31" s="57" t="s">
        <v>7</v>
      </c>
      <c r="C31" s="42" t="s">
        <v>14</v>
      </c>
      <c r="D31" s="42" t="s">
        <v>16</v>
      </c>
      <c r="E31" s="42" t="s">
        <v>16</v>
      </c>
      <c r="F31" s="42" t="s">
        <v>16</v>
      </c>
      <c r="G31" s="42" t="s">
        <v>16</v>
      </c>
      <c r="H31" s="42" t="s">
        <v>16</v>
      </c>
      <c r="I31" s="42" t="s">
        <v>16</v>
      </c>
      <c r="J31" s="42" t="s">
        <v>14</v>
      </c>
      <c r="K31" s="42" t="s">
        <v>16</v>
      </c>
      <c r="L31" s="42" t="s">
        <v>16</v>
      </c>
      <c r="M31" s="42" t="s">
        <v>16</v>
      </c>
      <c r="N31" s="42" t="s">
        <v>16</v>
      </c>
      <c r="O31" s="42" t="s">
        <v>16</v>
      </c>
      <c r="P31" s="42" t="s">
        <v>16</v>
      </c>
      <c r="Q31" s="42" t="s">
        <v>14</v>
      </c>
      <c r="R31" s="42" t="s">
        <v>16</v>
      </c>
      <c r="S31" s="42" t="s">
        <v>16</v>
      </c>
      <c r="T31" s="42" t="s">
        <v>16</v>
      </c>
      <c r="U31" s="42" t="s">
        <v>16</v>
      </c>
      <c r="V31" s="42" t="s">
        <v>16</v>
      </c>
      <c r="W31" s="42" t="s">
        <v>16</v>
      </c>
      <c r="X31" s="42" t="s">
        <v>14</v>
      </c>
      <c r="Y31" s="42" t="s">
        <v>16</v>
      </c>
      <c r="Z31" s="42" t="s">
        <v>16</v>
      </c>
      <c r="AA31" s="42" t="s">
        <v>16</v>
      </c>
      <c r="AB31" s="42" t="s">
        <v>16</v>
      </c>
      <c r="AC31" s="42" t="s">
        <v>16</v>
      </c>
      <c r="AD31" s="42" t="s">
        <v>16</v>
      </c>
      <c r="AE31" s="58">
        <f t="shared" si="6"/>
        <v>0</v>
      </c>
      <c r="AF31" s="29">
        <f t="shared" si="7"/>
        <v>4</v>
      </c>
      <c r="AG31" s="29">
        <f t="shared" si="8"/>
        <v>24</v>
      </c>
      <c r="AH31" s="30">
        <f t="shared" si="9"/>
        <v>28</v>
      </c>
      <c r="AI31" s="31">
        <f t="shared" si="5"/>
        <v>16500</v>
      </c>
      <c r="AJ31" s="13"/>
      <c r="AK31" s="1"/>
    </row>
    <row r="32" spans="1:37" ht="17.100000000000001" customHeight="1" thickBot="1" x14ac:dyDescent="0.4">
      <c r="A32" s="55">
        <v>29</v>
      </c>
      <c r="B32" s="57" t="s">
        <v>68</v>
      </c>
      <c r="C32" s="42" t="s">
        <v>14</v>
      </c>
      <c r="D32" s="42" t="s">
        <v>16</v>
      </c>
      <c r="E32" s="42" t="s">
        <v>16</v>
      </c>
      <c r="F32" s="42" t="s">
        <v>16</v>
      </c>
      <c r="G32" s="42" t="s">
        <v>16</v>
      </c>
      <c r="H32" s="42" t="s">
        <v>16</v>
      </c>
      <c r="I32" s="42" t="s">
        <v>16</v>
      </c>
      <c r="J32" s="42" t="s">
        <v>14</v>
      </c>
      <c r="K32" s="42" t="s">
        <v>16</v>
      </c>
      <c r="L32" s="42" t="s">
        <v>16</v>
      </c>
      <c r="M32" s="42" t="s">
        <v>16</v>
      </c>
      <c r="N32" s="42" t="s">
        <v>16</v>
      </c>
      <c r="O32" s="42" t="s">
        <v>16</v>
      </c>
      <c r="P32" s="42" t="s">
        <v>16</v>
      </c>
      <c r="Q32" s="42" t="s">
        <v>14</v>
      </c>
      <c r="R32" s="42" t="s">
        <v>16</v>
      </c>
      <c r="S32" s="42" t="s">
        <v>16</v>
      </c>
      <c r="T32" s="42" t="s">
        <v>16</v>
      </c>
      <c r="U32" s="42" t="s">
        <v>16</v>
      </c>
      <c r="V32" s="42" t="s">
        <v>16</v>
      </c>
      <c r="W32" s="42" t="s">
        <v>16</v>
      </c>
      <c r="X32" s="42" t="s">
        <v>14</v>
      </c>
      <c r="Y32" s="42" t="s">
        <v>16</v>
      </c>
      <c r="Z32" s="42" t="s">
        <v>16</v>
      </c>
      <c r="AA32" s="42" t="s">
        <v>16</v>
      </c>
      <c r="AB32" s="42" t="s">
        <v>16</v>
      </c>
      <c r="AC32" s="42" t="s">
        <v>16</v>
      </c>
      <c r="AD32" s="42" t="s">
        <v>16</v>
      </c>
      <c r="AE32" s="58">
        <f t="shared" si="6"/>
        <v>0</v>
      </c>
      <c r="AF32" s="29">
        <f t="shared" si="7"/>
        <v>4</v>
      </c>
      <c r="AG32" s="29">
        <f t="shared" si="8"/>
        <v>24</v>
      </c>
      <c r="AH32" s="30">
        <f t="shared" si="9"/>
        <v>28</v>
      </c>
      <c r="AI32" s="31">
        <f t="shared" si="5"/>
        <v>16500</v>
      </c>
      <c r="AJ32" s="13"/>
      <c r="AK32" s="1"/>
    </row>
    <row r="33" spans="1:37" ht="17.100000000000001" customHeight="1" thickBot="1" x14ac:dyDescent="0.4">
      <c r="A33" s="56">
        <v>30</v>
      </c>
      <c r="B33" s="57" t="s">
        <v>29</v>
      </c>
      <c r="C33" s="42" t="s">
        <v>14</v>
      </c>
      <c r="D33" s="42" t="s">
        <v>16</v>
      </c>
      <c r="E33" s="42" t="s">
        <v>16</v>
      </c>
      <c r="F33" s="42" t="s">
        <v>16</v>
      </c>
      <c r="G33" s="42" t="s">
        <v>16</v>
      </c>
      <c r="H33" s="42" t="s">
        <v>16</v>
      </c>
      <c r="I33" s="42" t="s">
        <v>16</v>
      </c>
      <c r="J33" s="42" t="s">
        <v>14</v>
      </c>
      <c r="K33" s="42" t="s">
        <v>16</v>
      </c>
      <c r="L33" s="42" t="s">
        <v>16</v>
      </c>
      <c r="M33" s="42" t="s">
        <v>16</v>
      </c>
      <c r="N33" s="42" t="s">
        <v>16</v>
      </c>
      <c r="O33" s="42" t="s">
        <v>16</v>
      </c>
      <c r="P33" s="42" t="s">
        <v>16</v>
      </c>
      <c r="Q33" s="42" t="s">
        <v>14</v>
      </c>
      <c r="R33" s="42" t="s">
        <v>16</v>
      </c>
      <c r="S33" s="42" t="s">
        <v>16</v>
      </c>
      <c r="T33" s="42" t="s">
        <v>16</v>
      </c>
      <c r="U33" s="42" t="s">
        <v>16</v>
      </c>
      <c r="V33" s="42" t="s">
        <v>16</v>
      </c>
      <c r="W33" s="42" t="s">
        <v>16</v>
      </c>
      <c r="X33" s="42" t="s">
        <v>14</v>
      </c>
      <c r="Y33" s="42" t="s">
        <v>16</v>
      </c>
      <c r="Z33" s="42" t="s">
        <v>16</v>
      </c>
      <c r="AA33" s="42" t="s">
        <v>16</v>
      </c>
      <c r="AB33" s="42" t="s">
        <v>16</v>
      </c>
      <c r="AC33" s="42" t="s">
        <v>16</v>
      </c>
      <c r="AD33" s="42" t="s">
        <v>16</v>
      </c>
      <c r="AE33" s="58">
        <f t="shared" si="6"/>
        <v>0</v>
      </c>
      <c r="AF33" s="29">
        <f t="shared" si="7"/>
        <v>4</v>
      </c>
      <c r="AG33" s="29">
        <f t="shared" si="8"/>
        <v>24</v>
      </c>
      <c r="AH33" s="30">
        <f t="shared" si="9"/>
        <v>28</v>
      </c>
      <c r="AI33" s="31">
        <f t="shared" si="5"/>
        <v>16500</v>
      </c>
      <c r="AJ33" s="13"/>
      <c r="AK33" s="1"/>
    </row>
    <row r="34" spans="1:37" ht="17.100000000000001" customHeight="1" thickBot="1" x14ac:dyDescent="0.4">
      <c r="A34" s="55">
        <v>31</v>
      </c>
      <c r="B34" s="57" t="s">
        <v>110</v>
      </c>
      <c r="C34" s="42" t="s">
        <v>14</v>
      </c>
      <c r="D34" s="42" t="s">
        <v>16</v>
      </c>
      <c r="E34" s="42" t="s">
        <v>16</v>
      </c>
      <c r="F34" s="42" t="s">
        <v>16</v>
      </c>
      <c r="G34" s="42" t="s">
        <v>16</v>
      </c>
      <c r="H34" s="42" t="s">
        <v>16</v>
      </c>
      <c r="I34" s="42" t="s">
        <v>16</v>
      </c>
      <c r="J34" s="42" t="s">
        <v>14</v>
      </c>
      <c r="K34" s="42" t="s">
        <v>16</v>
      </c>
      <c r="L34" s="42" t="s">
        <v>16</v>
      </c>
      <c r="M34" s="42" t="s">
        <v>16</v>
      </c>
      <c r="N34" s="42" t="s">
        <v>16</v>
      </c>
      <c r="O34" s="42" t="s">
        <v>17</v>
      </c>
      <c r="P34" s="42" t="s">
        <v>16</v>
      </c>
      <c r="Q34" s="42" t="s">
        <v>14</v>
      </c>
      <c r="R34" s="42" t="s">
        <v>16</v>
      </c>
      <c r="S34" s="42" t="s">
        <v>17</v>
      </c>
      <c r="T34" s="42" t="s">
        <v>16</v>
      </c>
      <c r="U34" s="42" t="s">
        <v>17</v>
      </c>
      <c r="V34" s="42" t="s">
        <v>16</v>
      </c>
      <c r="W34" s="42" t="s">
        <v>17</v>
      </c>
      <c r="X34" s="42" t="s">
        <v>14</v>
      </c>
      <c r="Y34" s="42" t="s">
        <v>17</v>
      </c>
      <c r="Z34" s="42" t="s">
        <v>16</v>
      </c>
      <c r="AA34" s="42" t="s">
        <v>16</v>
      </c>
      <c r="AB34" s="42" t="s">
        <v>16</v>
      </c>
      <c r="AC34" s="42" t="s">
        <v>17</v>
      </c>
      <c r="AD34" s="42" t="s">
        <v>16</v>
      </c>
      <c r="AE34" s="58">
        <f t="shared" si="6"/>
        <v>6</v>
      </c>
      <c r="AF34" s="29">
        <f t="shared" si="7"/>
        <v>4</v>
      </c>
      <c r="AG34" s="29">
        <f t="shared" si="8"/>
        <v>18</v>
      </c>
      <c r="AH34" s="30">
        <f t="shared" si="9"/>
        <v>22</v>
      </c>
      <c r="AI34" s="31">
        <f t="shared" si="5"/>
        <v>12964</v>
      </c>
      <c r="AJ34" s="13"/>
      <c r="AK34" s="1"/>
    </row>
    <row r="35" spans="1:37" ht="17.100000000000001" customHeight="1" thickBot="1" x14ac:dyDescent="0.4">
      <c r="A35" s="56">
        <v>32</v>
      </c>
      <c r="B35" s="57" t="s">
        <v>8</v>
      </c>
      <c r="C35" s="42" t="s">
        <v>14</v>
      </c>
      <c r="D35" s="42" t="s">
        <v>16</v>
      </c>
      <c r="E35" s="42" t="s">
        <v>16</v>
      </c>
      <c r="F35" s="42" t="s">
        <v>16</v>
      </c>
      <c r="G35" s="42" t="s">
        <v>16</v>
      </c>
      <c r="H35" s="42" t="s">
        <v>17</v>
      </c>
      <c r="I35" s="42" t="s">
        <v>17</v>
      </c>
      <c r="J35" s="42" t="s">
        <v>14</v>
      </c>
      <c r="K35" s="42" t="s">
        <v>17</v>
      </c>
      <c r="L35" s="42" t="s">
        <v>16</v>
      </c>
      <c r="M35" s="42" t="s">
        <v>16</v>
      </c>
      <c r="N35" s="42" t="s">
        <v>16</v>
      </c>
      <c r="O35" s="42" t="s">
        <v>16</v>
      </c>
      <c r="P35" s="42" t="s">
        <v>16</v>
      </c>
      <c r="Q35" s="42" t="s">
        <v>14</v>
      </c>
      <c r="R35" s="42" t="s">
        <v>16</v>
      </c>
      <c r="S35" s="42" t="s">
        <v>16</v>
      </c>
      <c r="T35" s="42" t="s">
        <v>16</v>
      </c>
      <c r="U35" s="42" t="s">
        <v>16</v>
      </c>
      <c r="V35" s="42" t="s">
        <v>16</v>
      </c>
      <c r="W35" s="42" t="s">
        <v>16</v>
      </c>
      <c r="X35" s="42" t="s">
        <v>14</v>
      </c>
      <c r="Y35" s="42" t="s">
        <v>16</v>
      </c>
      <c r="Z35" s="42" t="s">
        <v>16</v>
      </c>
      <c r="AA35" s="42" t="s">
        <v>16</v>
      </c>
      <c r="AB35" s="42" t="s">
        <v>16</v>
      </c>
      <c r="AC35" s="42" t="s">
        <v>16</v>
      </c>
      <c r="AD35" s="42" t="s">
        <v>16</v>
      </c>
      <c r="AE35" s="58">
        <f t="shared" si="6"/>
        <v>3</v>
      </c>
      <c r="AF35" s="29">
        <f t="shared" si="7"/>
        <v>4</v>
      </c>
      <c r="AG35" s="29">
        <f t="shared" si="8"/>
        <v>21</v>
      </c>
      <c r="AH35" s="30">
        <f t="shared" si="9"/>
        <v>25</v>
      </c>
      <c r="AI35" s="31">
        <f t="shared" si="5"/>
        <v>14732</v>
      </c>
      <c r="AJ35" s="13"/>
      <c r="AK35" s="1"/>
    </row>
    <row r="36" spans="1:37" ht="17.100000000000001" customHeight="1" thickBot="1" x14ac:dyDescent="0.4">
      <c r="A36" s="55">
        <v>33</v>
      </c>
      <c r="B36" s="57" t="s">
        <v>65</v>
      </c>
      <c r="C36" s="42" t="s">
        <v>14</v>
      </c>
      <c r="D36" s="42" t="s">
        <v>16</v>
      </c>
      <c r="E36" s="42" t="s">
        <v>16</v>
      </c>
      <c r="F36" s="42" t="s">
        <v>16</v>
      </c>
      <c r="G36" s="42" t="s">
        <v>16</v>
      </c>
      <c r="H36" s="42" t="s">
        <v>16</v>
      </c>
      <c r="I36" s="42" t="s">
        <v>16</v>
      </c>
      <c r="J36" s="42" t="s">
        <v>14</v>
      </c>
      <c r="K36" s="42" t="s">
        <v>16</v>
      </c>
      <c r="L36" s="42" t="s">
        <v>16</v>
      </c>
      <c r="M36" s="42" t="s">
        <v>16</v>
      </c>
      <c r="N36" s="42" t="s">
        <v>16</v>
      </c>
      <c r="O36" s="42" t="s">
        <v>16</v>
      </c>
      <c r="P36" s="42" t="s">
        <v>16</v>
      </c>
      <c r="Q36" s="42" t="s">
        <v>14</v>
      </c>
      <c r="R36" s="42" t="s">
        <v>17</v>
      </c>
      <c r="S36" s="42" t="s">
        <v>16</v>
      </c>
      <c r="T36" s="42" t="s">
        <v>16</v>
      </c>
      <c r="U36" s="42" t="s">
        <v>17</v>
      </c>
      <c r="V36" s="42" t="s">
        <v>16</v>
      </c>
      <c r="W36" s="42" t="s">
        <v>17</v>
      </c>
      <c r="X36" s="42" t="s">
        <v>14</v>
      </c>
      <c r="Y36" s="42" t="s">
        <v>17</v>
      </c>
      <c r="Z36" s="42" t="s">
        <v>16</v>
      </c>
      <c r="AA36" s="42" t="s">
        <v>16</v>
      </c>
      <c r="AB36" s="42" t="s">
        <v>16</v>
      </c>
      <c r="AC36" s="42" t="s">
        <v>16</v>
      </c>
      <c r="AD36" s="42" t="s">
        <v>16</v>
      </c>
      <c r="AE36" s="58">
        <f t="shared" si="6"/>
        <v>4</v>
      </c>
      <c r="AF36" s="29">
        <f t="shared" si="7"/>
        <v>4</v>
      </c>
      <c r="AG36" s="29">
        <f t="shared" si="8"/>
        <v>20</v>
      </c>
      <c r="AH36" s="30">
        <f t="shared" si="9"/>
        <v>24</v>
      </c>
      <c r="AI36" s="31">
        <f t="shared" ref="AI36:AI56" si="10">ROUND(16500/$AH$10*AH36,0)</f>
        <v>14143</v>
      </c>
      <c r="AJ36" s="13"/>
      <c r="AK36" s="1"/>
    </row>
    <row r="37" spans="1:37" ht="17.100000000000001" customHeight="1" thickBot="1" x14ac:dyDescent="0.4">
      <c r="A37" s="56">
        <v>34</v>
      </c>
      <c r="B37" s="57" t="s">
        <v>25</v>
      </c>
      <c r="C37" s="42" t="s">
        <v>14</v>
      </c>
      <c r="D37" s="42" t="s">
        <v>16</v>
      </c>
      <c r="E37" s="42" t="s">
        <v>16</v>
      </c>
      <c r="F37" s="42" t="s">
        <v>16</v>
      </c>
      <c r="G37" s="42" t="s">
        <v>16</v>
      </c>
      <c r="H37" s="42" t="s">
        <v>16</v>
      </c>
      <c r="I37" s="42" t="s">
        <v>16</v>
      </c>
      <c r="J37" s="42" t="s">
        <v>14</v>
      </c>
      <c r="K37" s="42" t="s">
        <v>16</v>
      </c>
      <c r="L37" s="42" t="s">
        <v>16</v>
      </c>
      <c r="M37" s="42" t="s">
        <v>16</v>
      </c>
      <c r="N37" s="42" t="s">
        <v>16</v>
      </c>
      <c r="O37" s="42" t="s">
        <v>16</v>
      </c>
      <c r="P37" s="42" t="s">
        <v>16</v>
      </c>
      <c r="Q37" s="42" t="s">
        <v>14</v>
      </c>
      <c r="R37" s="42" t="s">
        <v>16</v>
      </c>
      <c r="S37" s="42" t="s">
        <v>17</v>
      </c>
      <c r="T37" s="42" t="s">
        <v>16</v>
      </c>
      <c r="U37" s="42" t="s">
        <v>16</v>
      </c>
      <c r="V37" s="42" t="s">
        <v>16</v>
      </c>
      <c r="W37" s="42" t="s">
        <v>16</v>
      </c>
      <c r="X37" s="42" t="s">
        <v>14</v>
      </c>
      <c r="Y37" s="42" t="s">
        <v>16</v>
      </c>
      <c r="Z37" s="42" t="s">
        <v>16</v>
      </c>
      <c r="AA37" s="42" t="s">
        <v>16</v>
      </c>
      <c r="AB37" s="42" t="s">
        <v>16</v>
      </c>
      <c r="AC37" s="42" t="s">
        <v>16</v>
      </c>
      <c r="AD37" s="42" t="s">
        <v>16</v>
      </c>
      <c r="AE37" s="58">
        <f t="shared" si="6"/>
        <v>1</v>
      </c>
      <c r="AF37" s="29">
        <f t="shared" si="7"/>
        <v>4</v>
      </c>
      <c r="AG37" s="29">
        <f t="shared" si="8"/>
        <v>23</v>
      </c>
      <c r="AH37" s="30">
        <f t="shared" si="9"/>
        <v>27</v>
      </c>
      <c r="AI37" s="31">
        <f t="shared" si="10"/>
        <v>15911</v>
      </c>
      <c r="AJ37" s="13"/>
      <c r="AK37" s="1"/>
    </row>
    <row r="38" spans="1:37" ht="17.100000000000001" customHeight="1" thickBot="1" x14ac:dyDescent="0.4">
      <c r="A38" s="55">
        <v>35</v>
      </c>
      <c r="B38" s="57" t="s">
        <v>66</v>
      </c>
      <c r="C38" s="42" t="s">
        <v>14</v>
      </c>
      <c r="D38" s="42" t="s">
        <v>16</v>
      </c>
      <c r="E38" s="42" t="s">
        <v>16</v>
      </c>
      <c r="F38" s="42" t="s">
        <v>16</v>
      </c>
      <c r="G38" s="42" t="s">
        <v>16</v>
      </c>
      <c r="H38" s="42" t="s">
        <v>16</v>
      </c>
      <c r="I38" s="42" t="s">
        <v>16</v>
      </c>
      <c r="J38" s="42" t="s">
        <v>14</v>
      </c>
      <c r="K38" s="42" t="s">
        <v>16</v>
      </c>
      <c r="L38" s="42" t="s">
        <v>16</v>
      </c>
      <c r="M38" s="42" t="s">
        <v>16</v>
      </c>
      <c r="N38" s="42" t="s">
        <v>16</v>
      </c>
      <c r="O38" s="42" t="s">
        <v>17</v>
      </c>
      <c r="P38" s="42" t="s">
        <v>17</v>
      </c>
      <c r="Q38" s="42" t="s">
        <v>14</v>
      </c>
      <c r="R38" s="42" t="s">
        <v>17</v>
      </c>
      <c r="S38" s="42" t="s">
        <v>16</v>
      </c>
      <c r="T38" s="42" t="s">
        <v>16</v>
      </c>
      <c r="U38" s="42" t="s">
        <v>16</v>
      </c>
      <c r="V38" s="42" t="s">
        <v>16</v>
      </c>
      <c r="W38" s="42" t="s">
        <v>16</v>
      </c>
      <c r="X38" s="42" t="s">
        <v>14</v>
      </c>
      <c r="Y38" s="42" t="s">
        <v>16</v>
      </c>
      <c r="Z38" s="42" t="s">
        <v>16</v>
      </c>
      <c r="AA38" s="42" t="s">
        <v>16</v>
      </c>
      <c r="AB38" s="42" t="s">
        <v>16</v>
      </c>
      <c r="AC38" s="42" t="s">
        <v>16</v>
      </c>
      <c r="AD38" s="42" t="s">
        <v>16</v>
      </c>
      <c r="AE38" s="58">
        <f t="shared" si="6"/>
        <v>3</v>
      </c>
      <c r="AF38" s="29">
        <f t="shared" si="7"/>
        <v>4</v>
      </c>
      <c r="AG38" s="29">
        <f t="shared" si="8"/>
        <v>21</v>
      </c>
      <c r="AH38" s="30">
        <f t="shared" si="9"/>
        <v>25</v>
      </c>
      <c r="AI38" s="31">
        <f t="shared" si="10"/>
        <v>14732</v>
      </c>
      <c r="AJ38" s="13"/>
      <c r="AK38" s="1"/>
    </row>
    <row r="39" spans="1:37" ht="17.100000000000001" customHeight="1" thickBot="1" x14ac:dyDescent="0.4">
      <c r="A39" s="56">
        <v>36</v>
      </c>
      <c r="B39" s="57" t="s">
        <v>72</v>
      </c>
      <c r="C39" s="42" t="s">
        <v>14</v>
      </c>
      <c r="D39" s="42" t="s">
        <v>16</v>
      </c>
      <c r="E39" s="42" t="s">
        <v>16</v>
      </c>
      <c r="F39" s="42" t="s">
        <v>16</v>
      </c>
      <c r="G39" s="42" t="s">
        <v>16</v>
      </c>
      <c r="H39" s="42" t="s">
        <v>16</v>
      </c>
      <c r="I39" s="42" t="s">
        <v>16</v>
      </c>
      <c r="J39" s="42" t="s">
        <v>14</v>
      </c>
      <c r="K39" s="42" t="s">
        <v>16</v>
      </c>
      <c r="L39" s="42" t="s">
        <v>16</v>
      </c>
      <c r="M39" s="42" t="s">
        <v>16</v>
      </c>
      <c r="N39" s="42" t="s">
        <v>16</v>
      </c>
      <c r="O39" s="42" t="s">
        <v>16</v>
      </c>
      <c r="P39" s="42" t="s">
        <v>16</v>
      </c>
      <c r="Q39" s="42" t="s">
        <v>14</v>
      </c>
      <c r="R39" s="42" t="s">
        <v>17</v>
      </c>
      <c r="S39" s="42" t="s">
        <v>17</v>
      </c>
      <c r="T39" s="42" t="s">
        <v>16</v>
      </c>
      <c r="U39" s="42" t="s">
        <v>16</v>
      </c>
      <c r="V39" s="42" t="s">
        <v>16</v>
      </c>
      <c r="W39" s="42" t="s">
        <v>16</v>
      </c>
      <c r="X39" s="42" t="s">
        <v>14</v>
      </c>
      <c r="Y39" s="42" t="s">
        <v>16</v>
      </c>
      <c r="Z39" s="42" t="s">
        <v>16</v>
      </c>
      <c r="AA39" s="42" t="s">
        <v>16</v>
      </c>
      <c r="AB39" s="42" t="s">
        <v>16</v>
      </c>
      <c r="AC39" s="42" t="s">
        <v>16</v>
      </c>
      <c r="AD39" s="42" t="s">
        <v>16</v>
      </c>
      <c r="AE39" s="58">
        <f t="shared" si="6"/>
        <v>2</v>
      </c>
      <c r="AF39" s="29">
        <f t="shared" si="7"/>
        <v>4</v>
      </c>
      <c r="AG39" s="29">
        <f t="shared" si="8"/>
        <v>22</v>
      </c>
      <c r="AH39" s="30">
        <f t="shared" si="9"/>
        <v>26</v>
      </c>
      <c r="AI39" s="31">
        <f t="shared" si="10"/>
        <v>15321</v>
      </c>
      <c r="AJ39" s="13"/>
      <c r="AK39" s="1"/>
    </row>
    <row r="40" spans="1:37" ht="17.100000000000001" customHeight="1" thickBot="1" x14ac:dyDescent="0.4">
      <c r="A40" s="55">
        <v>37</v>
      </c>
      <c r="B40" s="57" t="s">
        <v>115</v>
      </c>
      <c r="C40" s="42" t="s">
        <v>14</v>
      </c>
      <c r="D40" s="42" t="s">
        <v>16</v>
      </c>
      <c r="E40" s="42" t="s">
        <v>16</v>
      </c>
      <c r="F40" s="42" t="s">
        <v>16</v>
      </c>
      <c r="G40" s="42" t="s">
        <v>16</v>
      </c>
      <c r="H40" s="42" t="s">
        <v>16</v>
      </c>
      <c r="I40" s="42" t="s">
        <v>16</v>
      </c>
      <c r="J40" s="42" t="s">
        <v>14</v>
      </c>
      <c r="K40" s="42" t="s">
        <v>16</v>
      </c>
      <c r="L40" s="42" t="s">
        <v>16</v>
      </c>
      <c r="M40" s="42" t="s">
        <v>16</v>
      </c>
      <c r="N40" s="42" t="s">
        <v>16</v>
      </c>
      <c r="O40" s="42" t="s">
        <v>16</v>
      </c>
      <c r="P40" s="42" t="s">
        <v>16</v>
      </c>
      <c r="Q40" s="42" t="s">
        <v>14</v>
      </c>
      <c r="R40" s="42" t="s">
        <v>16</v>
      </c>
      <c r="S40" s="42" t="s">
        <v>16</v>
      </c>
      <c r="T40" s="42" t="s">
        <v>16</v>
      </c>
      <c r="U40" s="42" t="s">
        <v>16</v>
      </c>
      <c r="V40" s="42" t="s">
        <v>16</v>
      </c>
      <c r="W40" s="42" t="s">
        <v>16</v>
      </c>
      <c r="X40" s="42" t="s">
        <v>14</v>
      </c>
      <c r="Y40" s="42" t="s">
        <v>16</v>
      </c>
      <c r="Z40" s="42" t="s">
        <v>16</v>
      </c>
      <c r="AA40" s="42" t="s">
        <v>16</v>
      </c>
      <c r="AB40" s="42" t="s">
        <v>16</v>
      </c>
      <c r="AC40" s="42" t="s">
        <v>16</v>
      </c>
      <c r="AD40" s="42" t="s">
        <v>16</v>
      </c>
      <c r="AE40" s="58">
        <f t="shared" si="6"/>
        <v>0</v>
      </c>
      <c r="AF40" s="29">
        <f t="shared" si="7"/>
        <v>4</v>
      </c>
      <c r="AG40" s="29">
        <f t="shared" si="8"/>
        <v>24</v>
      </c>
      <c r="AH40" s="30">
        <f t="shared" si="9"/>
        <v>28</v>
      </c>
      <c r="AI40" s="31">
        <f t="shared" si="10"/>
        <v>16500</v>
      </c>
      <c r="AJ40" s="13"/>
      <c r="AK40" s="1"/>
    </row>
    <row r="41" spans="1:37" ht="17.100000000000001" customHeight="1" thickBot="1" x14ac:dyDescent="0.4">
      <c r="A41" s="56">
        <v>38</v>
      </c>
      <c r="B41" s="57" t="s">
        <v>63</v>
      </c>
      <c r="C41" s="42" t="s">
        <v>14</v>
      </c>
      <c r="D41" s="42" t="s">
        <v>16</v>
      </c>
      <c r="E41" s="42" t="s">
        <v>16</v>
      </c>
      <c r="F41" s="42" t="s">
        <v>16</v>
      </c>
      <c r="G41" s="42" t="s">
        <v>16</v>
      </c>
      <c r="H41" s="42" t="s">
        <v>16</v>
      </c>
      <c r="I41" s="42" t="s">
        <v>16</v>
      </c>
      <c r="J41" s="42" t="s">
        <v>14</v>
      </c>
      <c r="K41" s="42" t="s">
        <v>16</v>
      </c>
      <c r="L41" s="42" t="s">
        <v>16</v>
      </c>
      <c r="M41" s="42" t="s">
        <v>16</v>
      </c>
      <c r="N41" s="42" t="s">
        <v>16</v>
      </c>
      <c r="O41" s="42" t="s">
        <v>16</v>
      </c>
      <c r="P41" s="42" t="s">
        <v>16</v>
      </c>
      <c r="Q41" s="42" t="s">
        <v>14</v>
      </c>
      <c r="R41" s="42" t="s">
        <v>16</v>
      </c>
      <c r="S41" s="42" t="s">
        <v>16</v>
      </c>
      <c r="T41" s="42" t="s">
        <v>16</v>
      </c>
      <c r="U41" s="42" t="s">
        <v>16</v>
      </c>
      <c r="V41" s="42" t="s">
        <v>16</v>
      </c>
      <c r="W41" s="42" t="s">
        <v>16</v>
      </c>
      <c r="X41" s="42" t="s">
        <v>14</v>
      </c>
      <c r="Y41" s="42" t="s">
        <v>16</v>
      </c>
      <c r="Z41" s="42" t="s">
        <v>16</v>
      </c>
      <c r="AA41" s="42" t="s">
        <v>16</v>
      </c>
      <c r="AB41" s="42" t="s">
        <v>16</v>
      </c>
      <c r="AC41" s="42" t="s">
        <v>16</v>
      </c>
      <c r="AD41" s="42" t="s">
        <v>16</v>
      </c>
      <c r="AE41" s="58">
        <f t="shared" si="6"/>
        <v>0</v>
      </c>
      <c r="AF41" s="29">
        <f t="shared" si="7"/>
        <v>4</v>
      </c>
      <c r="AG41" s="29">
        <f t="shared" si="8"/>
        <v>24</v>
      </c>
      <c r="AH41" s="30">
        <f t="shared" si="9"/>
        <v>28</v>
      </c>
      <c r="AI41" s="31">
        <f t="shared" si="10"/>
        <v>16500</v>
      </c>
      <c r="AJ41" s="13"/>
      <c r="AK41" s="1"/>
    </row>
    <row r="42" spans="1:37" ht="17.100000000000001" customHeight="1" thickBot="1" x14ac:dyDescent="0.4">
      <c r="A42" s="55">
        <v>39</v>
      </c>
      <c r="B42" s="57" t="s">
        <v>57</v>
      </c>
      <c r="C42" s="42" t="s">
        <v>14</v>
      </c>
      <c r="D42" s="42" t="s">
        <v>17</v>
      </c>
      <c r="E42" s="42" t="s">
        <v>16</v>
      </c>
      <c r="F42" s="42" t="s">
        <v>16</v>
      </c>
      <c r="G42" s="42" t="s">
        <v>16</v>
      </c>
      <c r="H42" s="42" t="s">
        <v>16</v>
      </c>
      <c r="I42" s="42" t="s">
        <v>16</v>
      </c>
      <c r="J42" s="42" t="s">
        <v>14</v>
      </c>
      <c r="K42" s="42" t="s">
        <v>17</v>
      </c>
      <c r="L42" s="42" t="s">
        <v>16</v>
      </c>
      <c r="M42" s="42" t="s">
        <v>16</v>
      </c>
      <c r="N42" s="42" t="s">
        <v>16</v>
      </c>
      <c r="O42" s="42" t="s">
        <v>16</v>
      </c>
      <c r="P42" s="42" t="s">
        <v>16</v>
      </c>
      <c r="Q42" s="42" t="s">
        <v>14</v>
      </c>
      <c r="R42" s="42" t="s">
        <v>17</v>
      </c>
      <c r="S42" s="42" t="s">
        <v>17</v>
      </c>
      <c r="T42" s="42" t="s">
        <v>16</v>
      </c>
      <c r="U42" s="42" t="s">
        <v>16</v>
      </c>
      <c r="V42" s="42" t="s">
        <v>16</v>
      </c>
      <c r="W42" s="42" t="s">
        <v>16</v>
      </c>
      <c r="X42" s="42" t="s">
        <v>14</v>
      </c>
      <c r="Y42" s="42" t="s">
        <v>16</v>
      </c>
      <c r="Z42" s="42" t="s">
        <v>16</v>
      </c>
      <c r="AA42" s="42" t="s">
        <v>16</v>
      </c>
      <c r="AB42" s="42" t="s">
        <v>16</v>
      </c>
      <c r="AC42" s="42" t="s">
        <v>16</v>
      </c>
      <c r="AD42" s="42" t="s">
        <v>16</v>
      </c>
      <c r="AE42" s="58">
        <f t="shared" si="6"/>
        <v>4</v>
      </c>
      <c r="AF42" s="29">
        <f t="shared" si="7"/>
        <v>4</v>
      </c>
      <c r="AG42" s="29">
        <f t="shared" si="8"/>
        <v>20</v>
      </c>
      <c r="AH42" s="30">
        <f t="shared" si="9"/>
        <v>24</v>
      </c>
      <c r="AI42" s="31">
        <f t="shared" si="10"/>
        <v>14143</v>
      </c>
      <c r="AJ42" s="13"/>
      <c r="AK42" s="1"/>
    </row>
    <row r="43" spans="1:37" ht="17.100000000000001" customHeight="1" thickBot="1" x14ac:dyDescent="0.4">
      <c r="A43" s="56">
        <v>40</v>
      </c>
      <c r="B43" s="57" t="s">
        <v>58</v>
      </c>
      <c r="C43" s="42" t="s">
        <v>14</v>
      </c>
      <c r="D43" s="42" t="s">
        <v>16</v>
      </c>
      <c r="E43" s="42" t="s">
        <v>16</v>
      </c>
      <c r="F43" s="42" t="s">
        <v>16</v>
      </c>
      <c r="G43" s="42" t="s">
        <v>16</v>
      </c>
      <c r="H43" s="42" t="s">
        <v>16</v>
      </c>
      <c r="I43" s="42" t="s">
        <v>16</v>
      </c>
      <c r="J43" s="42" t="s">
        <v>14</v>
      </c>
      <c r="K43" s="42" t="s">
        <v>16</v>
      </c>
      <c r="L43" s="42" t="s">
        <v>16</v>
      </c>
      <c r="M43" s="42" t="s">
        <v>17</v>
      </c>
      <c r="N43" s="42" t="s">
        <v>16</v>
      </c>
      <c r="O43" s="42" t="s">
        <v>16</v>
      </c>
      <c r="P43" s="42" t="s">
        <v>16</v>
      </c>
      <c r="Q43" s="42" t="s">
        <v>14</v>
      </c>
      <c r="R43" s="42" t="s">
        <v>16</v>
      </c>
      <c r="S43" s="42" t="s">
        <v>16</v>
      </c>
      <c r="T43" s="42" t="s">
        <v>16</v>
      </c>
      <c r="U43" s="42" t="s">
        <v>16</v>
      </c>
      <c r="V43" s="42" t="s">
        <v>16</v>
      </c>
      <c r="W43" s="42" t="s">
        <v>16</v>
      </c>
      <c r="X43" s="42" t="s">
        <v>14</v>
      </c>
      <c r="Y43" s="42" t="s">
        <v>16</v>
      </c>
      <c r="Z43" s="42" t="s">
        <v>16</v>
      </c>
      <c r="AA43" s="42" t="s">
        <v>16</v>
      </c>
      <c r="AB43" s="42" t="s">
        <v>16</v>
      </c>
      <c r="AC43" s="42" t="s">
        <v>16</v>
      </c>
      <c r="AD43" s="42" t="s">
        <v>16</v>
      </c>
      <c r="AE43" s="58">
        <f t="shared" si="6"/>
        <v>1</v>
      </c>
      <c r="AF43" s="29">
        <f t="shared" si="7"/>
        <v>4</v>
      </c>
      <c r="AG43" s="29">
        <f t="shared" si="8"/>
        <v>23</v>
      </c>
      <c r="AH43" s="30">
        <f t="shared" si="9"/>
        <v>27</v>
      </c>
      <c r="AI43" s="31">
        <f t="shared" si="10"/>
        <v>15911</v>
      </c>
      <c r="AJ43" s="13"/>
      <c r="AK43" s="1"/>
    </row>
    <row r="44" spans="1:37" ht="17.100000000000001" customHeight="1" thickBot="1" x14ac:dyDescent="0.4">
      <c r="A44" s="55">
        <v>41</v>
      </c>
      <c r="B44" s="57" t="s">
        <v>53</v>
      </c>
      <c r="C44" s="42" t="s">
        <v>14</v>
      </c>
      <c r="D44" s="42" t="s">
        <v>16</v>
      </c>
      <c r="E44" s="42" t="s">
        <v>16</v>
      </c>
      <c r="F44" s="42" t="s">
        <v>16</v>
      </c>
      <c r="G44" s="42" t="s">
        <v>16</v>
      </c>
      <c r="H44" s="42" t="s">
        <v>16</v>
      </c>
      <c r="I44" s="42" t="s">
        <v>16</v>
      </c>
      <c r="J44" s="42" t="s">
        <v>14</v>
      </c>
      <c r="K44" s="42" t="s">
        <v>17</v>
      </c>
      <c r="L44" s="42" t="s">
        <v>16</v>
      </c>
      <c r="M44" s="42" t="s">
        <v>16</v>
      </c>
      <c r="N44" s="42" t="s">
        <v>16</v>
      </c>
      <c r="O44" s="42" t="s">
        <v>16</v>
      </c>
      <c r="P44" s="42" t="s">
        <v>16</v>
      </c>
      <c r="Q44" s="42" t="s">
        <v>14</v>
      </c>
      <c r="R44" s="42" t="s">
        <v>16</v>
      </c>
      <c r="S44" s="42" t="s">
        <v>16</v>
      </c>
      <c r="T44" s="42" t="s">
        <v>16</v>
      </c>
      <c r="U44" s="42" t="s">
        <v>16</v>
      </c>
      <c r="V44" s="42" t="s">
        <v>16</v>
      </c>
      <c r="W44" s="42" t="s">
        <v>16</v>
      </c>
      <c r="X44" s="42" t="s">
        <v>14</v>
      </c>
      <c r="Y44" s="42" t="s">
        <v>16</v>
      </c>
      <c r="Z44" s="42" t="s">
        <v>16</v>
      </c>
      <c r="AA44" s="42" t="s">
        <v>16</v>
      </c>
      <c r="AB44" s="42" t="s">
        <v>16</v>
      </c>
      <c r="AC44" s="42" t="s">
        <v>16</v>
      </c>
      <c r="AD44" s="42" t="s">
        <v>16</v>
      </c>
      <c r="AE44" s="58">
        <f t="shared" si="6"/>
        <v>1</v>
      </c>
      <c r="AF44" s="29">
        <f t="shared" si="7"/>
        <v>4</v>
      </c>
      <c r="AG44" s="29">
        <f t="shared" si="8"/>
        <v>23</v>
      </c>
      <c r="AH44" s="30">
        <f t="shared" si="9"/>
        <v>27</v>
      </c>
      <c r="AI44" s="31">
        <f t="shared" si="10"/>
        <v>15911</v>
      </c>
      <c r="AJ44" s="13"/>
      <c r="AK44" s="1"/>
    </row>
    <row r="45" spans="1:37" ht="17.100000000000001" customHeight="1" thickBot="1" x14ac:dyDescent="0.4">
      <c r="A45" s="56">
        <v>42</v>
      </c>
      <c r="B45" s="57" t="s">
        <v>67</v>
      </c>
      <c r="C45" s="42" t="s">
        <v>14</v>
      </c>
      <c r="D45" s="42" t="s">
        <v>16</v>
      </c>
      <c r="E45" s="42" t="s">
        <v>16</v>
      </c>
      <c r="F45" s="42" t="s">
        <v>16</v>
      </c>
      <c r="G45" s="42" t="s">
        <v>16</v>
      </c>
      <c r="H45" s="42" t="s">
        <v>16</v>
      </c>
      <c r="I45" s="42" t="s">
        <v>16</v>
      </c>
      <c r="J45" s="42" t="s">
        <v>14</v>
      </c>
      <c r="K45" s="42" t="s">
        <v>16</v>
      </c>
      <c r="L45" s="42" t="s">
        <v>16</v>
      </c>
      <c r="M45" s="42" t="s">
        <v>16</v>
      </c>
      <c r="N45" s="42" t="s">
        <v>16</v>
      </c>
      <c r="O45" s="42" t="s">
        <v>16</v>
      </c>
      <c r="P45" s="42" t="s">
        <v>16</v>
      </c>
      <c r="Q45" s="42" t="s">
        <v>14</v>
      </c>
      <c r="R45" s="42" t="s">
        <v>16</v>
      </c>
      <c r="S45" s="42" t="s">
        <v>16</v>
      </c>
      <c r="T45" s="42" t="s">
        <v>16</v>
      </c>
      <c r="U45" s="42" t="s">
        <v>16</v>
      </c>
      <c r="V45" s="42" t="s">
        <v>16</v>
      </c>
      <c r="W45" s="42" t="s">
        <v>16</v>
      </c>
      <c r="X45" s="42" t="s">
        <v>14</v>
      </c>
      <c r="Y45" s="42" t="s">
        <v>16</v>
      </c>
      <c r="Z45" s="42" t="s">
        <v>16</v>
      </c>
      <c r="AA45" s="42" t="s">
        <v>16</v>
      </c>
      <c r="AB45" s="42" t="s">
        <v>16</v>
      </c>
      <c r="AC45" s="42" t="s">
        <v>16</v>
      </c>
      <c r="AD45" s="42" t="s">
        <v>16</v>
      </c>
      <c r="AE45" s="58">
        <f t="shared" si="6"/>
        <v>0</v>
      </c>
      <c r="AF45" s="29">
        <f t="shared" si="7"/>
        <v>4</v>
      </c>
      <c r="AG45" s="29">
        <f t="shared" si="8"/>
        <v>24</v>
      </c>
      <c r="AH45" s="30">
        <f t="shared" si="9"/>
        <v>28</v>
      </c>
      <c r="AI45" s="31">
        <f t="shared" si="10"/>
        <v>16500</v>
      </c>
      <c r="AJ45" s="13"/>
      <c r="AK45" s="1"/>
    </row>
    <row r="46" spans="1:37" ht="17.100000000000001" customHeight="1" thickBot="1" x14ac:dyDescent="0.4">
      <c r="A46" s="55">
        <v>43</v>
      </c>
      <c r="B46" s="57" t="s">
        <v>123</v>
      </c>
      <c r="C46" s="42" t="s">
        <v>14</v>
      </c>
      <c r="D46" s="42" t="s">
        <v>16</v>
      </c>
      <c r="E46" s="42" t="s">
        <v>16</v>
      </c>
      <c r="F46" s="42" t="s">
        <v>16</v>
      </c>
      <c r="G46" s="42" t="s">
        <v>17</v>
      </c>
      <c r="H46" s="42" t="s">
        <v>17</v>
      </c>
      <c r="I46" s="42" t="s">
        <v>17</v>
      </c>
      <c r="J46" s="42" t="s">
        <v>14</v>
      </c>
      <c r="K46" s="42" t="s">
        <v>17</v>
      </c>
      <c r="L46" s="42" t="s">
        <v>16</v>
      </c>
      <c r="M46" s="42" t="s">
        <v>16</v>
      </c>
      <c r="N46" s="42" t="s">
        <v>16</v>
      </c>
      <c r="O46" s="42" t="s">
        <v>16</v>
      </c>
      <c r="P46" s="42" t="s">
        <v>16</v>
      </c>
      <c r="Q46" s="42" t="s">
        <v>14</v>
      </c>
      <c r="R46" s="42" t="s">
        <v>16</v>
      </c>
      <c r="S46" s="42" t="s">
        <v>16</v>
      </c>
      <c r="T46" s="42" t="s">
        <v>16</v>
      </c>
      <c r="U46" s="42" t="s">
        <v>16</v>
      </c>
      <c r="V46" s="42" t="s">
        <v>16</v>
      </c>
      <c r="W46" s="42" t="s">
        <v>16</v>
      </c>
      <c r="X46" s="42" t="s">
        <v>14</v>
      </c>
      <c r="Y46" s="42" t="s">
        <v>16</v>
      </c>
      <c r="Z46" s="42" t="s">
        <v>16</v>
      </c>
      <c r="AA46" s="42" t="s">
        <v>16</v>
      </c>
      <c r="AB46" s="42" t="s">
        <v>16</v>
      </c>
      <c r="AC46" s="42" t="s">
        <v>16</v>
      </c>
      <c r="AD46" s="42" t="s">
        <v>16</v>
      </c>
      <c r="AE46" s="58">
        <f t="shared" si="6"/>
        <v>4</v>
      </c>
      <c r="AF46" s="29">
        <f t="shared" si="7"/>
        <v>4</v>
      </c>
      <c r="AG46" s="29">
        <f t="shared" si="8"/>
        <v>20</v>
      </c>
      <c r="AH46" s="30">
        <f t="shared" si="9"/>
        <v>24</v>
      </c>
      <c r="AI46" s="31">
        <f t="shared" si="10"/>
        <v>14143</v>
      </c>
      <c r="AJ46" s="13"/>
      <c r="AK46" s="1"/>
    </row>
    <row r="47" spans="1:37" ht="17.100000000000001" customHeight="1" thickBot="1" x14ac:dyDescent="0.4">
      <c r="A47" s="56">
        <v>44</v>
      </c>
      <c r="B47" s="57" t="s">
        <v>113</v>
      </c>
      <c r="C47" s="42" t="s">
        <v>14</v>
      </c>
      <c r="D47" s="42" t="s">
        <v>16</v>
      </c>
      <c r="E47" s="42" t="s">
        <v>17</v>
      </c>
      <c r="F47" s="42" t="s">
        <v>16</v>
      </c>
      <c r="G47" s="42" t="s">
        <v>16</v>
      </c>
      <c r="H47" s="42" t="s">
        <v>16</v>
      </c>
      <c r="I47" s="42" t="s">
        <v>16</v>
      </c>
      <c r="J47" s="42" t="s">
        <v>14</v>
      </c>
      <c r="K47" s="42" t="s">
        <v>16</v>
      </c>
      <c r="L47" s="42" t="s">
        <v>16</v>
      </c>
      <c r="M47" s="42" t="s">
        <v>16</v>
      </c>
      <c r="N47" s="42" t="s">
        <v>16</v>
      </c>
      <c r="O47" s="42" t="s">
        <v>16</v>
      </c>
      <c r="P47" s="42" t="s">
        <v>16</v>
      </c>
      <c r="Q47" s="42" t="s">
        <v>14</v>
      </c>
      <c r="R47" s="42" t="s">
        <v>17</v>
      </c>
      <c r="S47" s="42" t="s">
        <v>16</v>
      </c>
      <c r="T47" s="42" t="s">
        <v>16</v>
      </c>
      <c r="U47" s="42" t="s">
        <v>16</v>
      </c>
      <c r="V47" s="42" t="s">
        <v>16</v>
      </c>
      <c r="W47" s="42" t="s">
        <v>16</v>
      </c>
      <c r="X47" s="42" t="s">
        <v>14</v>
      </c>
      <c r="Y47" s="42" t="s">
        <v>16</v>
      </c>
      <c r="Z47" s="42" t="s">
        <v>16</v>
      </c>
      <c r="AA47" s="42" t="s">
        <v>16</v>
      </c>
      <c r="AB47" s="42" t="s">
        <v>16</v>
      </c>
      <c r="AC47" s="42" t="s">
        <v>16</v>
      </c>
      <c r="AD47" s="42" t="s">
        <v>16</v>
      </c>
      <c r="AE47" s="58">
        <f t="shared" si="6"/>
        <v>2</v>
      </c>
      <c r="AF47" s="29">
        <f t="shared" si="7"/>
        <v>4</v>
      </c>
      <c r="AG47" s="29">
        <f t="shared" si="8"/>
        <v>22</v>
      </c>
      <c r="AH47" s="30">
        <f t="shared" si="9"/>
        <v>26</v>
      </c>
      <c r="AI47" s="31">
        <f t="shared" si="10"/>
        <v>15321</v>
      </c>
      <c r="AJ47" s="13"/>
      <c r="AK47" s="1"/>
    </row>
    <row r="48" spans="1:37" ht="17.100000000000001" customHeight="1" thickBot="1" x14ac:dyDescent="0.4">
      <c r="A48" s="55">
        <v>45</v>
      </c>
      <c r="B48" s="57" t="s">
        <v>59</v>
      </c>
      <c r="C48" s="42" t="s">
        <v>14</v>
      </c>
      <c r="D48" s="42" t="s">
        <v>16</v>
      </c>
      <c r="E48" s="42" t="s">
        <v>16</v>
      </c>
      <c r="F48" s="42" t="s">
        <v>16</v>
      </c>
      <c r="G48" s="42" t="s">
        <v>16</v>
      </c>
      <c r="H48" s="42" t="s">
        <v>16</v>
      </c>
      <c r="I48" s="42" t="s">
        <v>16</v>
      </c>
      <c r="J48" s="42" t="s">
        <v>14</v>
      </c>
      <c r="K48" s="42" t="s">
        <v>16</v>
      </c>
      <c r="L48" s="42" t="s">
        <v>16</v>
      </c>
      <c r="M48" s="42" t="s">
        <v>16</v>
      </c>
      <c r="N48" s="42" t="s">
        <v>16</v>
      </c>
      <c r="O48" s="42" t="s">
        <v>16</v>
      </c>
      <c r="P48" s="42" t="s">
        <v>16</v>
      </c>
      <c r="Q48" s="42" t="s">
        <v>14</v>
      </c>
      <c r="R48" s="42" t="s">
        <v>16</v>
      </c>
      <c r="S48" s="42" t="s">
        <v>16</v>
      </c>
      <c r="T48" s="42" t="s">
        <v>16</v>
      </c>
      <c r="U48" s="42" t="s">
        <v>16</v>
      </c>
      <c r="V48" s="42" t="s">
        <v>16</v>
      </c>
      <c r="W48" s="42" t="s">
        <v>16</v>
      </c>
      <c r="X48" s="42" t="s">
        <v>14</v>
      </c>
      <c r="Y48" s="42" t="s">
        <v>16</v>
      </c>
      <c r="Z48" s="42" t="s">
        <v>16</v>
      </c>
      <c r="AA48" s="42" t="s">
        <v>16</v>
      </c>
      <c r="AB48" s="42" t="s">
        <v>16</v>
      </c>
      <c r="AC48" s="42" t="s">
        <v>16</v>
      </c>
      <c r="AD48" s="42" t="s">
        <v>16</v>
      </c>
      <c r="AE48" s="58">
        <f t="shared" si="6"/>
        <v>0</v>
      </c>
      <c r="AF48" s="29">
        <f t="shared" si="7"/>
        <v>4</v>
      </c>
      <c r="AG48" s="29">
        <f t="shared" si="8"/>
        <v>24</v>
      </c>
      <c r="AH48" s="30">
        <f t="shared" si="9"/>
        <v>28</v>
      </c>
      <c r="AI48" s="31">
        <f t="shared" si="10"/>
        <v>16500</v>
      </c>
      <c r="AJ48" s="13"/>
      <c r="AK48" s="1"/>
    </row>
    <row r="49" spans="1:37" ht="17.100000000000001" customHeight="1" thickBot="1" x14ac:dyDescent="0.4">
      <c r="A49" s="56">
        <v>46</v>
      </c>
      <c r="B49" s="57" t="s">
        <v>9</v>
      </c>
      <c r="C49" s="42" t="s">
        <v>14</v>
      </c>
      <c r="D49" s="42" t="s">
        <v>17</v>
      </c>
      <c r="E49" s="42" t="s">
        <v>16</v>
      </c>
      <c r="F49" s="42" t="s">
        <v>16</v>
      </c>
      <c r="G49" s="42" t="s">
        <v>16</v>
      </c>
      <c r="H49" s="42" t="s">
        <v>16</v>
      </c>
      <c r="I49" s="42" t="s">
        <v>16</v>
      </c>
      <c r="J49" s="42" t="s">
        <v>14</v>
      </c>
      <c r="K49" s="42" t="s">
        <v>16</v>
      </c>
      <c r="L49" s="42" t="s">
        <v>16</v>
      </c>
      <c r="M49" s="42" t="s">
        <v>16</v>
      </c>
      <c r="N49" s="42" t="s">
        <v>16</v>
      </c>
      <c r="O49" s="42" t="s">
        <v>16</v>
      </c>
      <c r="P49" s="42" t="s">
        <v>16</v>
      </c>
      <c r="Q49" s="42" t="s">
        <v>14</v>
      </c>
      <c r="R49" s="42" t="s">
        <v>17</v>
      </c>
      <c r="S49" s="42" t="s">
        <v>16</v>
      </c>
      <c r="T49" s="42" t="s">
        <v>16</v>
      </c>
      <c r="U49" s="42" t="s">
        <v>16</v>
      </c>
      <c r="V49" s="42" t="s">
        <v>16</v>
      </c>
      <c r="W49" s="42" t="s">
        <v>16</v>
      </c>
      <c r="X49" s="42" t="s">
        <v>14</v>
      </c>
      <c r="Y49" s="42" t="s">
        <v>16</v>
      </c>
      <c r="Z49" s="42" t="s">
        <v>16</v>
      </c>
      <c r="AA49" s="42" t="s">
        <v>16</v>
      </c>
      <c r="AB49" s="42" t="s">
        <v>16</v>
      </c>
      <c r="AC49" s="42" t="s">
        <v>16</v>
      </c>
      <c r="AD49" s="42" t="s">
        <v>16</v>
      </c>
      <c r="AE49" s="58">
        <f t="shared" si="6"/>
        <v>2</v>
      </c>
      <c r="AF49" s="29">
        <f t="shared" si="7"/>
        <v>4</v>
      </c>
      <c r="AG49" s="29">
        <f t="shared" si="8"/>
        <v>22</v>
      </c>
      <c r="AH49" s="30">
        <f t="shared" si="9"/>
        <v>26</v>
      </c>
      <c r="AI49" s="31">
        <f t="shared" si="10"/>
        <v>15321</v>
      </c>
      <c r="AJ49" s="13"/>
      <c r="AK49" s="1"/>
    </row>
    <row r="50" spans="1:37" ht="17.100000000000001" customHeight="1" thickBot="1" x14ac:dyDescent="0.4">
      <c r="A50" s="55">
        <v>47</v>
      </c>
      <c r="B50" s="57" t="s">
        <v>10</v>
      </c>
      <c r="C50" s="42" t="s">
        <v>14</v>
      </c>
      <c r="D50" s="42" t="s">
        <v>16</v>
      </c>
      <c r="E50" s="42" t="s">
        <v>16</v>
      </c>
      <c r="F50" s="42" t="s">
        <v>16</v>
      </c>
      <c r="G50" s="42" t="s">
        <v>16</v>
      </c>
      <c r="H50" s="42" t="s">
        <v>17</v>
      </c>
      <c r="I50" s="42" t="s">
        <v>16</v>
      </c>
      <c r="J50" s="42" t="s">
        <v>14</v>
      </c>
      <c r="K50" s="42" t="s">
        <v>16</v>
      </c>
      <c r="L50" s="42" t="s">
        <v>16</v>
      </c>
      <c r="M50" s="42" t="s">
        <v>16</v>
      </c>
      <c r="N50" s="42" t="s">
        <v>16</v>
      </c>
      <c r="O50" s="42" t="s">
        <v>16</v>
      </c>
      <c r="P50" s="42" t="s">
        <v>16</v>
      </c>
      <c r="Q50" s="42" t="s">
        <v>14</v>
      </c>
      <c r="R50" s="42" t="s">
        <v>16</v>
      </c>
      <c r="S50" s="42" t="s">
        <v>16</v>
      </c>
      <c r="T50" s="42" t="s">
        <v>16</v>
      </c>
      <c r="U50" s="42" t="s">
        <v>16</v>
      </c>
      <c r="V50" s="42" t="s">
        <v>16</v>
      </c>
      <c r="W50" s="42" t="s">
        <v>16</v>
      </c>
      <c r="X50" s="42" t="s">
        <v>14</v>
      </c>
      <c r="Y50" s="42" t="s">
        <v>16</v>
      </c>
      <c r="Z50" s="42" t="s">
        <v>16</v>
      </c>
      <c r="AA50" s="42" t="s">
        <v>16</v>
      </c>
      <c r="AB50" s="42" t="s">
        <v>16</v>
      </c>
      <c r="AC50" s="42" t="s">
        <v>16</v>
      </c>
      <c r="AD50" s="42" t="s">
        <v>16</v>
      </c>
      <c r="AE50" s="58">
        <f t="shared" si="6"/>
        <v>1</v>
      </c>
      <c r="AF50" s="29">
        <f t="shared" si="7"/>
        <v>4</v>
      </c>
      <c r="AG50" s="29">
        <f t="shared" si="8"/>
        <v>23</v>
      </c>
      <c r="AH50" s="30">
        <f t="shared" si="9"/>
        <v>27</v>
      </c>
      <c r="AI50" s="31">
        <f t="shared" si="10"/>
        <v>15911</v>
      </c>
      <c r="AJ50" s="13"/>
      <c r="AK50" s="1"/>
    </row>
    <row r="51" spans="1:37" ht="17.100000000000001" customHeight="1" thickBot="1" x14ac:dyDescent="0.4">
      <c r="A51" s="56">
        <v>48</v>
      </c>
      <c r="B51" s="57" t="s">
        <v>106</v>
      </c>
      <c r="C51" s="42" t="s">
        <v>14</v>
      </c>
      <c r="D51" s="42" t="s">
        <v>16</v>
      </c>
      <c r="E51" s="42" t="s">
        <v>16</v>
      </c>
      <c r="F51" s="42" t="s">
        <v>17</v>
      </c>
      <c r="G51" s="42" t="s">
        <v>16</v>
      </c>
      <c r="H51" s="42" t="s">
        <v>16</v>
      </c>
      <c r="I51" s="42" t="s">
        <v>16</v>
      </c>
      <c r="J51" s="42" t="s">
        <v>14</v>
      </c>
      <c r="K51" s="42" t="s">
        <v>16</v>
      </c>
      <c r="L51" s="42" t="s">
        <v>16</v>
      </c>
      <c r="M51" s="42" t="s">
        <v>16</v>
      </c>
      <c r="N51" s="42" t="s">
        <v>16</v>
      </c>
      <c r="O51" s="42" t="s">
        <v>16</v>
      </c>
      <c r="P51" s="42" t="s">
        <v>16</v>
      </c>
      <c r="Q51" s="42" t="s">
        <v>14</v>
      </c>
      <c r="R51" s="42" t="s">
        <v>16</v>
      </c>
      <c r="S51" s="42" t="s">
        <v>16</v>
      </c>
      <c r="T51" s="42" t="s">
        <v>16</v>
      </c>
      <c r="U51" s="42" t="s">
        <v>16</v>
      </c>
      <c r="V51" s="42" t="s">
        <v>16</v>
      </c>
      <c r="W51" s="42" t="s">
        <v>16</v>
      </c>
      <c r="X51" s="42" t="s">
        <v>14</v>
      </c>
      <c r="Y51" s="42" t="s">
        <v>16</v>
      </c>
      <c r="Z51" s="42" t="s">
        <v>16</v>
      </c>
      <c r="AA51" s="42" t="s">
        <v>16</v>
      </c>
      <c r="AB51" s="42" t="s">
        <v>16</v>
      </c>
      <c r="AC51" s="42" t="s">
        <v>16</v>
      </c>
      <c r="AD51" s="42" t="s">
        <v>16</v>
      </c>
      <c r="AE51" s="58">
        <f t="shared" si="6"/>
        <v>1</v>
      </c>
      <c r="AF51" s="29">
        <f t="shared" si="7"/>
        <v>4</v>
      </c>
      <c r="AG51" s="29">
        <f t="shared" si="8"/>
        <v>23</v>
      </c>
      <c r="AH51" s="30">
        <f t="shared" si="9"/>
        <v>27</v>
      </c>
      <c r="AI51" s="31">
        <f t="shared" si="10"/>
        <v>15911</v>
      </c>
      <c r="AJ51" s="13"/>
      <c r="AK51" s="1"/>
    </row>
    <row r="52" spans="1:37" ht="17.100000000000001" customHeight="1" thickBot="1" x14ac:dyDescent="0.4">
      <c r="A52" s="55">
        <v>49</v>
      </c>
      <c r="B52" s="57" t="s">
        <v>60</v>
      </c>
      <c r="C52" s="42" t="s">
        <v>14</v>
      </c>
      <c r="D52" s="42" t="s">
        <v>16</v>
      </c>
      <c r="E52" s="42" t="s">
        <v>16</v>
      </c>
      <c r="F52" s="42" t="s">
        <v>16</v>
      </c>
      <c r="G52" s="42" t="s">
        <v>16</v>
      </c>
      <c r="H52" s="42" t="s">
        <v>16</v>
      </c>
      <c r="I52" s="42" t="s">
        <v>16</v>
      </c>
      <c r="J52" s="42" t="s">
        <v>14</v>
      </c>
      <c r="K52" s="42" t="s">
        <v>16</v>
      </c>
      <c r="L52" s="42" t="s">
        <v>16</v>
      </c>
      <c r="M52" s="42" t="s">
        <v>16</v>
      </c>
      <c r="N52" s="42" t="s">
        <v>16</v>
      </c>
      <c r="O52" s="42" t="s">
        <v>16</v>
      </c>
      <c r="P52" s="42" t="s">
        <v>16</v>
      </c>
      <c r="Q52" s="42" t="s">
        <v>14</v>
      </c>
      <c r="R52" s="42" t="s">
        <v>16</v>
      </c>
      <c r="S52" s="42" t="s">
        <v>16</v>
      </c>
      <c r="T52" s="42" t="s">
        <v>16</v>
      </c>
      <c r="U52" s="42" t="s">
        <v>16</v>
      </c>
      <c r="V52" s="42" t="s">
        <v>16</v>
      </c>
      <c r="W52" s="42" t="s">
        <v>16</v>
      </c>
      <c r="X52" s="42" t="s">
        <v>14</v>
      </c>
      <c r="Y52" s="42" t="s">
        <v>16</v>
      </c>
      <c r="Z52" s="42" t="s">
        <v>16</v>
      </c>
      <c r="AA52" s="42" t="s">
        <v>16</v>
      </c>
      <c r="AB52" s="42" t="s">
        <v>16</v>
      </c>
      <c r="AC52" s="42" t="s">
        <v>16</v>
      </c>
      <c r="AD52" s="42" t="s">
        <v>16</v>
      </c>
      <c r="AE52" s="58">
        <f t="shared" si="6"/>
        <v>0</v>
      </c>
      <c r="AF52" s="29">
        <f t="shared" si="7"/>
        <v>4</v>
      </c>
      <c r="AG52" s="29">
        <f t="shared" si="8"/>
        <v>24</v>
      </c>
      <c r="AH52" s="30">
        <f t="shared" si="9"/>
        <v>28</v>
      </c>
      <c r="AI52" s="31">
        <f t="shared" si="10"/>
        <v>16500</v>
      </c>
      <c r="AJ52" s="13"/>
      <c r="AK52" s="1"/>
    </row>
    <row r="53" spans="1:37" ht="17.100000000000001" customHeight="1" thickBot="1" x14ac:dyDescent="0.4">
      <c r="A53" s="56">
        <v>50</v>
      </c>
      <c r="B53" s="57" t="s">
        <v>54</v>
      </c>
      <c r="C53" s="42" t="s">
        <v>14</v>
      </c>
      <c r="D53" s="42" t="s">
        <v>16</v>
      </c>
      <c r="E53" s="42" t="s">
        <v>16</v>
      </c>
      <c r="F53" s="42" t="s">
        <v>16</v>
      </c>
      <c r="G53" s="42" t="s">
        <v>16</v>
      </c>
      <c r="H53" s="42" t="s">
        <v>16</v>
      </c>
      <c r="I53" s="42" t="s">
        <v>16</v>
      </c>
      <c r="J53" s="42" t="s">
        <v>14</v>
      </c>
      <c r="K53" s="42" t="s">
        <v>16</v>
      </c>
      <c r="L53" s="42" t="s">
        <v>16</v>
      </c>
      <c r="M53" s="42" t="s">
        <v>16</v>
      </c>
      <c r="N53" s="42" t="s">
        <v>16</v>
      </c>
      <c r="O53" s="42" t="s">
        <v>16</v>
      </c>
      <c r="P53" s="42" t="s">
        <v>16</v>
      </c>
      <c r="Q53" s="42" t="s">
        <v>14</v>
      </c>
      <c r="R53" s="42" t="s">
        <v>16</v>
      </c>
      <c r="S53" s="42" t="s">
        <v>16</v>
      </c>
      <c r="T53" s="42" t="s">
        <v>17</v>
      </c>
      <c r="U53" s="42" t="s">
        <v>17</v>
      </c>
      <c r="V53" s="42" t="s">
        <v>17</v>
      </c>
      <c r="W53" s="42" t="s">
        <v>17</v>
      </c>
      <c r="X53" s="42" t="s">
        <v>14</v>
      </c>
      <c r="Y53" s="42" t="s">
        <v>16</v>
      </c>
      <c r="Z53" s="42" t="s">
        <v>16</v>
      </c>
      <c r="AA53" s="42" t="s">
        <v>16</v>
      </c>
      <c r="AB53" s="42" t="s">
        <v>16</v>
      </c>
      <c r="AC53" s="42" t="s">
        <v>16</v>
      </c>
      <c r="AD53" s="42" t="s">
        <v>17</v>
      </c>
      <c r="AE53" s="58">
        <f t="shared" si="6"/>
        <v>5</v>
      </c>
      <c r="AF53" s="29">
        <f t="shared" si="7"/>
        <v>4</v>
      </c>
      <c r="AG53" s="29">
        <f t="shared" si="8"/>
        <v>19</v>
      </c>
      <c r="AH53" s="30">
        <f t="shared" si="9"/>
        <v>23</v>
      </c>
      <c r="AI53" s="31">
        <f t="shared" si="10"/>
        <v>13554</v>
      </c>
      <c r="AJ53" s="13"/>
      <c r="AK53" s="1"/>
    </row>
    <row r="54" spans="1:37" ht="17.100000000000001" customHeight="1" thickBot="1" x14ac:dyDescent="0.4">
      <c r="A54" s="55">
        <v>51</v>
      </c>
      <c r="B54" s="57" t="s">
        <v>114</v>
      </c>
      <c r="C54" s="42" t="s">
        <v>14</v>
      </c>
      <c r="D54" s="42" t="s">
        <v>16</v>
      </c>
      <c r="E54" s="42" t="s">
        <v>16</v>
      </c>
      <c r="F54" s="42" t="s">
        <v>16</v>
      </c>
      <c r="G54" s="42" t="s">
        <v>16</v>
      </c>
      <c r="H54" s="42" t="s">
        <v>17</v>
      </c>
      <c r="I54" s="42" t="s">
        <v>16</v>
      </c>
      <c r="J54" s="42" t="s">
        <v>14</v>
      </c>
      <c r="K54" s="42" t="s">
        <v>16</v>
      </c>
      <c r="L54" s="42" t="s">
        <v>16</v>
      </c>
      <c r="M54" s="42" t="s">
        <v>16</v>
      </c>
      <c r="N54" s="42" t="s">
        <v>16</v>
      </c>
      <c r="O54" s="42" t="s">
        <v>16</v>
      </c>
      <c r="P54" s="42" t="s">
        <v>16</v>
      </c>
      <c r="Q54" s="42" t="s">
        <v>14</v>
      </c>
      <c r="R54" s="42" t="s">
        <v>16</v>
      </c>
      <c r="S54" s="42" t="s">
        <v>16</v>
      </c>
      <c r="T54" s="42" t="s">
        <v>16</v>
      </c>
      <c r="U54" s="42" t="s">
        <v>16</v>
      </c>
      <c r="V54" s="42" t="s">
        <v>16</v>
      </c>
      <c r="W54" s="42" t="s">
        <v>16</v>
      </c>
      <c r="X54" s="42" t="s">
        <v>14</v>
      </c>
      <c r="Y54" s="42" t="s">
        <v>16</v>
      </c>
      <c r="Z54" s="42" t="s">
        <v>16</v>
      </c>
      <c r="AA54" s="42" t="s">
        <v>16</v>
      </c>
      <c r="AB54" s="42" t="s">
        <v>16</v>
      </c>
      <c r="AC54" s="42" t="s">
        <v>16</v>
      </c>
      <c r="AD54" s="42" t="s">
        <v>16</v>
      </c>
      <c r="AE54" s="58">
        <f t="shared" si="6"/>
        <v>1</v>
      </c>
      <c r="AF54" s="29">
        <f t="shared" si="7"/>
        <v>4</v>
      </c>
      <c r="AG54" s="29">
        <f t="shared" si="8"/>
        <v>23</v>
      </c>
      <c r="AH54" s="30">
        <f t="shared" si="9"/>
        <v>27</v>
      </c>
      <c r="AI54" s="31">
        <f t="shared" si="10"/>
        <v>15911</v>
      </c>
      <c r="AJ54" s="1"/>
      <c r="AK54" s="1"/>
    </row>
    <row r="55" spans="1:37" ht="17.100000000000001" customHeight="1" thickBot="1" x14ac:dyDescent="0.4">
      <c r="A55" s="56">
        <v>52</v>
      </c>
      <c r="B55" s="57" t="s">
        <v>24</v>
      </c>
      <c r="C55" s="42" t="s">
        <v>14</v>
      </c>
      <c r="D55" s="42" t="s">
        <v>16</v>
      </c>
      <c r="E55" s="42" t="s">
        <v>16</v>
      </c>
      <c r="F55" s="42" t="s">
        <v>16</v>
      </c>
      <c r="G55" s="42" t="s">
        <v>16</v>
      </c>
      <c r="H55" s="42" t="s">
        <v>16</v>
      </c>
      <c r="I55" s="42" t="s">
        <v>16</v>
      </c>
      <c r="J55" s="42" t="s">
        <v>14</v>
      </c>
      <c r="K55" s="42" t="s">
        <v>16</v>
      </c>
      <c r="L55" s="42" t="s">
        <v>16</v>
      </c>
      <c r="M55" s="42" t="s">
        <v>16</v>
      </c>
      <c r="N55" s="42" t="s">
        <v>16</v>
      </c>
      <c r="O55" s="42" t="s">
        <v>16</v>
      </c>
      <c r="P55" s="42" t="s">
        <v>16</v>
      </c>
      <c r="Q55" s="42" t="s">
        <v>14</v>
      </c>
      <c r="R55" s="42" t="s">
        <v>17</v>
      </c>
      <c r="S55" s="42" t="s">
        <v>16</v>
      </c>
      <c r="T55" s="42" t="s">
        <v>16</v>
      </c>
      <c r="U55" s="42" t="s">
        <v>16</v>
      </c>
      <c r="V55" s="42" t="s">
        <v>16</v>
      </c>
      <c r="W55" s="42" t="s">
        <v>16</v>
      </c>
      <c r="X55" s="42" t="s">
        <v>14</v>
      </c>
      <c r="Y55" s="42" t="s">
        <v>16</v>
      </c>
      <c r="Z55" s="42" t="s">
        <v>16</v>
      </c>
      <c r="AA55" s="42" t="s">
        <v>16</v>
      </c>
      <c r="AB55" s="42" t="s">
        <v>16</v>
      </c>
      <c r="AC55" s="42" t="s">
        <v>16</v>
      </c>
      <c r="AD55" s="42" t="s">
        <v>16</v>
      </c>
      <c r="AE55" s="58">
        <f t="shared" si="6"/>
        <v>1</v>
      </c>
      <c r="AF55" s="29">
        <f t="shared" si="7"/>
        <v>4</v>
      </c>
      <c r="AG55" s="29">
        <f t="shared" si="8"/>
        <v>23</v>
      </c>
      <c r="AH55" s="30">
        <f t="shared" si="9"/>
        <v>27</v>
      </c>
      <c r="AI55" s="31">
        <f t="shared" si="10"/>
        <v>15911</v>
      </c>
      <c r="AJ55" s="1"/>
      <c r="AK55" s="1"/>
    </row>
    <row r="56" spans="1:37" ht="17.100000000000001" customHeight="1" thickBot="1" x14ac:dyDescent="0.4">
      <c r="A56" s="56">
        <v>53</v>
      </c>
      <c r="B56" s="57" t="s">
        <v>127</v>
      </c>
      <c r="C56" s="42" t="s">
        <v>116</v>
      </c>
      <c r="D56" s="42" t="s">
        <v>16</v>
      </c>
      <c r="E56" s="42" t="s">
        <v>16</v>
      </c>
      <c r="F56" s="42" t="s">
        <v>16</v>
      </c>
      <c r="G56" s="42" t="s">
        <v>16</v>
      </c>
      <c r="H56" s="42" t="s">
        <v>16</v>
      </c>
      <c r="I56" s="42" t="s">
        <v>16</v>
      </c>
      <c r="J56" s="42" t="s">
        <v>14</v>
      </c>
      <c r="K56" s="42" t="s">
        <v>16</v>
      </c>
      <c r="L56" s="42" t="s">
        <v>16</v>
      </c>
      <c r="M56" s="42" t="s">
        <v>16</v>
      </c>
      <c r="N56" s="42" t="s">
        <v>16</v>
      </c>
      <c r="O56" s="42" t="s">
        <v>16</v>
      </c>
      <c r="P56" s="42" t="s">
        <v>16</v>
      </c>
      <c r="Q56" s="42" t="s">
        <v>14</v>
      </c>
      <c r="R56" s="42" t="s">
        <v>16</v>
      </c>
      <c r="S56" s="42" t="s">
        <v>16</v>
      </c>
      <c r="T56" s="42" t="s">
        <v>16</v>
      </c>
      <c r="U56" s="42" t="s">
        <v>16</v>
      </c>
      <c r="V56" s="42" t="s">
        <v>16</v>
      </c>
      <c r="W56" s="42" t="s">
        <v>16</v>
      </c>
      <c r="X56" s="42" t="s">
        <v>14</v>
      </c>
      <c r="Y56" s="42" t="s">
        <v>16</v>
      </c>
      <c r="Z56" s="42" t="s">
        <v>16</v>
      </c>
      <c r="AA56" s="42" t="s">
        <v>16</v>
      </c>
      <c r="AB56" s="42" t="s">
        <v>16</v>
      </c>
      <c r="AC56" s="42" t="s">
        <v>16</v>
      </c>
      <c r="AD56" s="42" t="s">
        <v>16</v>
      </c>
      <c r="AE56" s="58">
        <f t="shared" si="6"/>
        <v>0</v>
      </c>
      <c r="AF56" s="29">
        <f t="shared" si="7"/>
        <v>3</v>
      </c>
      <c r="AG56" s="29">
        <f t="shared" si="8"/>
        <v>24</v>
      </c>
      <c r="AH56" s="30">
        <f t="shared" si="9"/>
        <v>27</v>
      </c>
      <c r="AI56" s="31">
        <f t="shared" si="10"/>
        <v>15911</v>
      </c>
    </row>
    <row r="59" spans="1:37" ht="17.100000000000001" customHeight="1" x14ac:dyDescent="0.35">
      <c r="B59" s="25"/>
    </row>
  </sheetData>
  <mergeCells count="8">
    <mergeCell ref="A1:AI1"/>
    <mergeCell ref="B2:B3"/>
    <mergeCell ref="A2:A3"/>
    <mergeCell ref="AE2:AE3"/>
    <mergeCell ref="AF2:AF3"/>
    <mergeCell ref="AG2:AG3"/>
    <mergeCell ref="AH2:AH3"/>
    <mergeCell ref="AI2:AI3"/>
  </mergeCells>
  <phoneticPr fontId="6" type="noConversion"/>
  <conditionalFormatting sqref="C3:AD3">
    <cfRule type="cellIs" dxfId="14" priority="35" operator="equal">
      <formula>"SUN"</formula>
    </cfRule>
  </conditionalFormatting>
  <conditionalFormatting sqref="C4:AD56">
    <cfRule type="cellIs" dxfId="13" priority="1" operator="equal">
      <formula>"L"</formula>
    </cfRule>
    <cfRule type="cellIs" dxfId="12" priority="2" operator="equal">
      <formula>"H"</formula>
    </cfRule>
  </conditionalFormatting>
  <conditionalFormatting sqref="AI4:AI56">
    <cfRule type="cellIs" dxfId="11" priority="3" operator="greaterThan">
      <formula>16500</formula>
    </cfRule>
  </conditionalFormatting>
  <conditionalFormatting sqref="AJ4:AJ53">
    <cfRule type="cellIs" dxfId="10" priority="16" operator="equal">
      <formula>"L"</formula>
    </cfRule>
    <cfRule type="cellIs" dxfId="9" priority="17" operator="equal">
      <formula>"H"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0"/>
  <sheetViews>
    <sheetView topLeftCell="A16" workbookViewId="0">
      <selection activeCell="I53" sqref="I53"/>
    </sheetView>
  </sheetViews>
  <sheetFormatPr defaultColWidth="9.21875" defaultRowHeight="15" x14ac:dyDescent="0.35"/>
  <cols>
    <col min="1" max="3" width="9.21875" style="1"/>
    <col min="4" max="4" width="5" style="1" bestFit="1" customWidth="1"/>
    <col min="5" max="5" width="24.77734375" style="1" bestFit="1" customWidth="1"/>
    <col min="6" max="6" width="11.21875" style="1" customWidth="1"/>
    <col min="7" max="7" width="10.21875" style="1" customWidth="1"/>
    <col min="8" max="8" width="11" bestFit="1" customWidth="1"/>
  </cols>
  <sheetData>
    <row r="1" spans="4:7" ht="15.6" thickBot="1" x14ac:dyDescent="0.4"/>
    <row r="2" spans="4:7" ht="19.8" thickBot="1" x14ac:dyDescent="0.5">
      <c r="D2" s="98" t="s">
        <v>125</v>
      </c>
      <c r="E2" s="99"/>
      <c r="F2" s="99"/>
      <c r="G2" s="100"/>
    </row>
    <row r="4" spans="4:7" ht="15.6" thickBot="1" x14ac:dyDescent="0.4"/>
    <row r="5" spans="4:7" ht="34.200000000000003" thickBot="1" x14ac:dyDescent="0.4">
      <c r="D5" s="17" t="s">
        <v>0</v>
      </c>
      <c r="E5" s="14" t="s">
        <v>34</v>
      </c>
      <c r="F5" s="14" t="s">
        <v>5</v>
      </c>
      <c r="G5" s="15" t="s">
        <v>6</v>
      </c>
    </row>
    <row r="6" spans="4:7" ht="16.8" x14ac:dyDescent="0.35">
      <c r="D6" s="5">
        <v>1</v>
      </c>
      <c r="E6" s="9" t="str">
        <f>Attendance!B4</f>
        <v>Ahmed Azam</v>
      </c>
      <c r="F6" s="3">
        <f>Attendance!AH4</f>
        <v>22</v>
      </c>
      <c r="G6" s="4">
        <f>ROUND(16500/$F$7*F6,0)</f>
        <v>12964</v>
      </c>
    </row>
    <row r="7" spans="4:7" ht="16.8" x14ac:dyDescent="0.35">
      <c r="D7" s="5">
        <v>2</v>
      </c>
      <c r="E7" s="9" t="str">
        <f>Attendance!B5</f>
        <v>Anand Ganesh Chopade</v>
      </c>
      <c r="F7" s="3">
        <f>Attendance!AH5</f>
        <v>28</v>
      </c>
      <c r="G7" s="4">
        <f t="shared" ref="G7:G58" si="0">ROUND(16500/$F$7*F7,0)</f>
        <v>16500</v>
      </c>
    </row>
    <row r="8" spans="4:7" ht="16.8" x14ac:dyDescent="0.35">
      <c r="D8" s="5">
        <v>3</v>
      </c>
      <c r="E8" s="9" t="str">
        <f>Attendance!B6</f>
        <v>Arundathi Jalagam</v>
      </c>
      <c r="F8" s="3">
        <f>Attendance!AH6</f>
        <v>27</v>
      </c>
      <c r="G8" s="4">
        <f t="shared" si="0"/>
        <v>15911</v>
      </c>
    </row>
    <row r="9" spans="4:7" ht="16.8" x14ac:dyDescent="0.35">
      <c r="D9" s="5">
        <v>4</v>
      </c>
      <c r="E9" s="9" t="str">
        <f>Attendance!B7</f>
        <v>Bonagiri Rehana</v>
      </c>
      <c r="F9" s="3">
        <f>Attendance!AH7</f>
        <v>27</v>
      </c>
      <c r="G9" s="4">
        <f t="shared" si="0"/>
        <v>15911</v>
      </c>
    </row>
    <row r="10" spans="4:7" ht="16.8" x14ac:dyDescent="0.35">
      <c r="D10" s="5">
        <v>5</v>
      </c>
      <c r="E10" s="9" t="str">
        <f>Attendance!B8</f>
        <v>Chouta Keerthana</v>
      </c>
      <c r="F10" s="3">
        <f>Attendance!AH8</f>
        <v>23</v>
      </c>
      <c r="G10" s="4">
        <f t="shared" si="0"/>
        <v>13554</v>
      </c>
    </row>
    <row r="11" spans="4:7" ht="16.8" x14ac:dyDescent="0.35">
      <c r="D11" s="5">
        <v>6</v>
      </c>
      <c r="E11" s="9" t="str">
        <f>Attendance!B9</f>
        <v>Deshapaga Raghavendar</v>
      </c>
      <c r="F11" s="3">
        <f>Attendance!AH9</f>
        <v>26</v>
      </c>
      <c r="G11" s="4">
        <f t="shared" si="0"/>
        <v>15321</v>
      </c>
    </row>
    <row r="12" spans="4:7" ht="16.8" x14ac:dyDescent="0.35">
      <c r="D12" s="5">
        <v>7</v>
      </c>
      <c r="E12" s="9" t="str">
        <f>Attendance!B10</f>
        <v>Dhenumakonda Lavanya</v>
      </c>
      <c r="F12" s="3">
        <f>Attendance!AH10</f>
        <v>28</v>
      </c>
      <c r="G12" s="4">
        <f t="shared" si="0"/>
        <v>16500</v>
      </c>
    </row>
    <row r="13" spans="4:7" ht="16.8" x14ac:dyDescent="0.35">
      <c r="D13" s="5">
        <v>8</v>
      </c>
      <c r="E13" s="9" t="str">
        <f>Attendance!B11</f>
        <v>Diravath Mounika</v>
      </c>
      <c r="F13" s="3">
        <f>Attendance!AH11</f>
        <v>23</v>
      </c>
      <c r="G13" s="4">
        <f t="shared" si="0"/>
        <v>13554</v>
      </c>
    </row>
    <row r="14" spans="4:7" ht="16.8" x14ac:dyDescent="0.35">
      <c r="D14" s="5">
        <v>9</v>
      </c>
      <c r="E14" s="9" t="str">
        <f>Attendance!B12</f>
        <v>Gaja Balanarayana</v>
      </c>
      <c r="F14" s="3">
        <f>Attendance!AH12</f>
        <v>26</v>
      </c>
      <c r="G14" s="4">
        <f t="shared" si="0"/>
        <v>15321</v>
      </c>
    </row>
    <row r="15" spans="4:7" ht="16.8" x14ac:dyDescent="0.35">
      <c r="D15" s="5">
        <v>10</v>
      </c>
      <c r="E15" s="9" t="str">
        <f>Attendance!B13</f>
        <v>Gopala Saritha</v>
      </c>
      <c r="F15" s="3">
        <f>Attendance!AH13</f>
        <v>25</v>
      </c>
      <c r="G15" s="4">
        <f t="shared" si="0"/>
        <v>14732</v>
      </c>
    </row>
    <row r="16" spans="4:7" ht="16.8" x14ac:dyDescent="0.35">
      <c r="D16" s="5">
        <v>11</v>
      </c>
      <c r="E16" s="9" t="str">
        <f>Attendance!B14</f>
        <v>Gudise Hemanth Kumar</v>
      </c>
      <c r="F16" s="3">
        <f>Attendance!AH14</f>
        <v>19</v>
      </c>
      <c r="G16" s="4">
        <f t="shared" si="0"/>
        <v>11196</v>
      </c>
    </row>
    <row r="17" spans="4:7" ht="16.8" x14ac:dyDescent="0.35">
      <c r="D17" s="5">
        <v>12</v>
      </c>
      <c r="E17" s="9" t="str">
        <f>Attendance!B15</f>
        <v>Jetti Hima Sindhu</v>
      </c>
      <c r="F17" s="3">
        <f>Attendance!AH15</f>
        <v>24</v>
      </c>
      <c r="G17" s="4">
        <f t="shared" si="0"/>
        <v>14143</v>
      </c>
    </row>
    <row r="18" spans="4:7" ht="16.8" x14ac:dyDescent="0.35">
      <c r="D18" s="5">
        <v>13</v>
      </c>
      <c r="E18" s="9" t="str">
        <f>Attendance!B16</f>
        <v>K Thirupathaiah</v>
      </c>
      <c r="F18" s="3">
        <f>Attendance!AH16</f>
        <v>28</v>
      </c>
      <c r="G18" s="4">
        <f t="shared" si="0"/>
        <v>16500</v>
      </c>
    </row>
    <row r="19" spans="4:7" ht="16.8" x14ac:dyDescent="0.35">
      <c r="D19" s="5">
        <v>14</v>
      </c>
      <c r="E19" s="9" t="str">
        <f>Attendance!B17</f>
        <v>Kanche Srisailam</v>
      </c>
      <c r="F19" s="3">
        <f>Attendance!AH17</f>
        <v>28</v>
      </c>
      <c r="G19" s="4">
        <f t="shared" si="0"/>
        <v>16500</v>
      </c>
    </row>
    <row r="20" spans="4:7" ht="16.8" x14ac:dyDescent="0.35">
      <c r="D20" s="5">
        <v>15</v>
      </c>
      <c r="E20" s="9" t="str">
        <f>Attendance!B18</f>
        <v>Kasireddy Harish</v>
      </c>
      <c r="F20" s="3">
        <f>Attendance!AH18</f>
        <v>28</v>
      </c>
      <c r="G20" s="4">
        <f t="shared" si="0"/>
        <v>16500</v>
      </c>
    </row>
    <row r="21" spans="4:7" ht="16.8" x14ac:dyDescent="0.35">
      <c r="D21" s="5">
        <v>16</v>
      </c>
      <c r="E21" s="9" t="str">
        <f>Attendance!B19</f>
        <v>Kasturi Sathish</v>
      </c>
      <c r="F21" s="3">
        <f>Attendance!AH19</f>
        <v>28</v>
      </c>
      <c r="G21" s="4">
        <f t="shared" si="0"/>
        <v>16500</v>
      </c>
    </row>
    <row r="22" spans="4:7" ht="16.8" x14ac:dyDescent="0.35">
      <c r="D22" s="5">
        <v>17</v>
      </c>
      <c r="E22" s="9" t="str">
        <f>Attendance!B20</f>
        <v>Katravath Mangesh</v>
      </c>
      <c r="F22" s="3">
        <f>Attendance!AH20</f>
        <v>28</v>
      </c>
      <c r="G22" s="4">
        <f t="shared" si="0"/>
        <v>16500</v>
      </c>
    </row>
    <row r="23" spans="4:7" ht="16.8" x14ac:dyDescent="0.35">
      <c r="D23" s="5">
        <v>18</v>
      </c>
      <c r="E23" s="9" t="str">
        <f>Attendance!B21</f>
        <v>Katravath Mohan Rathod</v>
      </c>
      <c r="F23" s="3">
        <f>Attendance!AH21</f>
        <v>27</v>
      </c>
      <c r="G23" s="4">
        <f t="shared" si="0"/>
        <v>15911</v>
      </c>
    </row>
    <row r="24" spans="4:7" ht="16.8" x14ac:dyDescent="0.35">
      <c r="D24" s="5">
        <v>19</v>
      </c>
      <c r="E24" s="9" t="str">
        <f>Attendance!B22</f>
        <v>Katravath Radhika</v>
      </c>
      <c r="F24" s="3">
        <f>Attendance!AH22</f>
        <v>23</v>
      </c>
      <c r="G24" s="4">
        <f t="shared" si="0"/>
        <v>13554</v>
      </c>
    </row>
    <row r="25" spans="4:7" ht="16.8" x14ac:dyDescent="0.35">
      <c r="D25" s="5">
        <v>20</v>
      </c>
      <c r="E25" s="9" t="str">
        <f>Attendance!B23</f>
        <v>Kodavath Swamy</v>
      </c>
      <c r="F25" s="3">
        <f>Attendance!AH23</f>
        <v>28</v>
      </c>
      <c r="G25" s="4">
        <f t="shared" si="0"/>
        <v>16500</v>
      </c>
    </row>
    <row r="26" spans="4:7" ht="16.8" x14ac:dyDescent="0.35">
      <c r="D26" s="5">
        <v>21</v>
      </c>
      <c r="E26" s="9" t="str">
        <f>Attendance!B24</f>
        <v>Kolla Sudhakar</v>
      </c>
      <c r="F26" s="3">
        <f>Attendance!AH24</f>
        <v>7</v>
      </c>
      <c r="G26" s="4">
        <f t="shared" si="0"/>
        <v>4125</v>
      </c>
    </row>
    <row r="27" spans="4:7" ht="16.8" x14ac:dyDescent="0.35">
      <c r="D27" s="5">
        <v>22</v>
      </c>
      <c r="E27" s="9" t="str">
        <f>Attendance!B25</f>
        <v>Kunduru Upender Reddy</v>
      </c>
      <c r="F27" s="3">
        <f>Attendance!AH25</f>
        <v>21</v>
      </c>
      <c r="G27" s="4">
        <f t="shared" si="0"/>
        <v>12375</v>
      </c>
    </row>
    <row r="28" spans="4:7" ht="16.8" x14ac:dyDescent="0.35">
      <c r="D28" s="5">
        <v>23</v>
      </c>
      <c r="E28" s="9" t="str">
        <f>Attendance!B26</f>
        <v>M jathin sai</v>
      </c>
      <c r="F28" s="3">
        <f>Attendance!AH26</f>
        <v>28</v>
      </c>
      <c r="G28" s="4">
        <f t="shared" si="0"/>
        <v>16500</v>
      </c>
    </row>
    <row r="29" spans="4:7" ht="16.8" x14ac:dyDescent="0.35">
      <c r="D29" s="5">
        <v>24</v>
      </c>
      <c r="E29" s="9" t="str">
        <f>Attendance!B27</f>
        <v>M Sunitha</v>
      </c>
      <c r="F29" s="3">
        <f>Attendance!AH27</f>
        <v>28</v>
      </c>
      <c r="G29" s="4">
        <f t="shared" si="0"/>
        <v>16500</v>
      </c>
    </row>
    <row r="30" spans="4:7" ht="16.8" x14ac:dyDescent="0.35">
      <c r="D30" s="5">
        <v>25</v>
      </c>
      <c r="E30" s="9" t="str">
        <f>Attendance!B28</f>
        <v>M Swarupa</v>
      </c>
      <c r="F30" s="3">
        <f>Attendance!AH28</f>
        <v>24</v>
      </c>
      <c r="G30" s="4">
        <f t="shared" si="0"/>
        <v>14143</v>
      </c>
    </row>
    <row r="31" spans="4:7" ht="16.8" x14ac:dyDescent="0.35">
      <c r="D31" s="5">
        <v>26</v>
      </c>
      <c r="E31" s="9" t="str">
        <f>Attendance!B29</f>
        <v>M.Esthar Rani</v>
      </c>
      <c r="F31" s="3">
        <f>Attendance!AH29</f>
        <v>26</v>
      </c>
      <c r="G31" s="4">
        <f t="shared" si="0"/>
        <v>15321</v>
      </c>
    </row>
    <row r="32" spans="4:7" ht="16.8" x14ac:dyDescent="0.35">
      <c r="D32" s="5">
        <v>27</v>
      </c>
      <c r="E32" s="9" t="str">
        <f>Attendance!B30</f>
        <v>Mamidi Raj kumar</v>
      </c>
      <c r="F32" s="3">
        <f>Attendance!AH30</f>
        <v>26</v>
      </c>
      <c r="G32" s="4">
        <f t="shared" si="0"/>
        <v>15321</v>
      </c>
    </row>
    <row r="33" spans="4:7" ht="16.8" x14ac:dyDescent="0.35">
      <c r="D33" s="5">
        <v>28</v>
      </c>
      <c r="E33" s="9" t="str">
        <f>Attendance!B31</f>
        <v>Md Mainoddin</v>
      </c>
      <c r="F33" s="3">
        <f>Attendance!AH31</f>
        <v>28</v>
      </c>
      <c r="G33" s="4">
        <f t="shared" si="0"/>
        <v>16500</v>
      </c>
    </row>
    <row r="34" spans="4:7" ht="16.8" x14ac:dyDescent="0.35">
      <c r="D34" s="5">
        <v>29</v>
      </c>
      <c r="E34" s="9" t="str">
        <f>Attendance!B32</f>
        <v>Mekala Anusha</v>
      </c>
      <c r="F34" s="3">
        <f>Attendance!AH32</f>
        <v>28</v>
      </c>
      <c r="G34" s="4">
        <f t="shared" si="0"/>
        <v>16500</v>
      </c>
    </row>
    <row r="35" spans="4:7" ht="16.8" x14ac:dyDescent="0.35">
      <c r="D35" s="5">
        <v>30</v>
      </c>
      <c r="E35" s="9" t="str">
        <f>Attendance!B33</f>
        <v>Mohammad Naziya</v>
      </c>
      <c r="F35" s="3">
        <f>Attendance!AH33</f>
        <v>28</v>
      </c>
      <c r="G35" s="4">
        <f t="shared" si="0"/>
        <v>16500</v>
      </c>
    </row>
    <row r="36" spans="4:7" ht="16.8" x14ac:dyDescent="0.35">
      <c r="D36" s="5">
        <v>31</v>
      </c>
      <c r="E36" s="9" t="str">
        <f>Attendance!B34</f>
        <v>Mohammad Shaheen Begum</v>
      </c>
      <c r="F36" s="3">
        <f>Attendance!AH34</f>
        <v>22</v>
      </c>
      <c r="G36" s="4">
        <f t="shared" si="0"/>
        <v>12964</v>
      </c>
    </row>
    <row r="37" spans="4:7" ht="16.8" x14ac:dyDescent="0.35">
      <c r="D37" s="5">
        <v>32</v>
      </c>
      <c r="E37" s="9" t="str">
        <f>Attendance!B35</f>
        <v>Mohammed Yaqoob khan</v>
      </c>
      <c r="F37" s="3">
        <f>Attendance!AH35</f>
        <v>25</v>
      </c>
      <c r="G37" s="4">
        <f t="shared" si="0"/>
        <v>14732</v>
      </c>
    </row>
    <row r="38" spans="4:7" ht="16.8" x14ac:dyDescent="0.35">
      <c r="D38" s="5">
        <v>33</v>
      </c>
      <c r="E38" s="9" t="str">
        <f>Attendance!B36</f>
        <v>Mudavath Balakoti</v>
      </c>
      <c r="F38" s="3">
        <f>Attendance!AH36</f>
        <v>24</v>
      </c>
      <c r="G38" s="4">
        <f t="shared" si="0"/>
        <v>14143</v>
      </c>
    </row>
    <row r="39" spans="4:7" ht="16.8" x14ac:dyDescent="0.35">
      <c r="D39" s="5">
        <v>34</v>
      </c>
      <c r="E39" s="9" t="str">
        <f>Attendance!B37</f>
        <v>Mudavath Kiran</v>
      </c>
      <c r="F39" s="3">
        <f>Attendance!AH37</f>
        <v>27</v>
      </c>
      <c r="G39" s="4">
        <f t="shared" si="0"/>
        <v>15911</v>
      </c>
    </row>
    <row r="40" spans="4:7" ht="16.8" x14ac:dyDescent="0.35">
      <c r="D40" s="5">
        <v>35</v>
      </c>
      <c r="E40" s="9" t="str">
        <f>Attendance!B38</f>
        <v>Mudavath Ramesh</v>
      </c>
      <c r="F40" s="3">
        <f>Attendance!AH38</f>
        <v>25</v>
      </c>
      <c r="G40" s="4">
        <f t="shared" si="0"/>
        <v>14732</v>
      </c>
    </row>
    <row r="41" spans="4:7" ht="16.8" x14ac:dyDescent="0.35">
      <c r="D41" s="5">
        <v>36</v>
      </c>
      <c r="E41" s="9" t="str">
        <f>Attendance!B39</f>
        <v>Neeli Srivani</v>
      </c>
      <c r="F41" s="3">
        <f>Attendance!AH39</f>
        <v>26</v>
      </c>
      <c r="G41" s="4">
        <f t="shared" si="0"/>
        <v>15321</v>
      </c>
    </row>
    <row r="42" spans="4:7" ht="16.8" x14ac:dyDescent="0.35">
      <c r="D42" s="5">
        <v>37</v>
      </c>
      <c r="E42" s="9" t="str">
        <f>Attendance!B40</f>
        <v>Padira Radhika</v>
      </c>
      <c r="F42" s="3">
        <f>Attendance!AH40</f>
        <v>28</v>
      </c>
      <c r="G42" s="4">
        <f t="shared" si="0"/>
        <v>16500</v>
      </c>
    </row>
    <row r="43" spans="4:7" ht="16.8" x14ac:dyDescent="0.35">
      <c r="D43" s="5">
        <v>38</v>
      </c>
      <c r="E43" s="9" t="str">
        <f>Attendance!B41</f>
        <v>Pandiri Punith kumar</v>
      </c>
      <c r="F43" s="3">
        <f>Attendance!AH41</f>
        <v>28</v>
      </c>
      <c r="G43" s="4">
        <f t="shared" si="0"/>
        <v>16500</v>
      </c>
    </row>
    <row r="44" spans="4:7" ht="16.8" x14ac:dyDescent="0.35">
      <c r="D44" s="5">
        <v>39</v>
      </c>
      <c r="E44" s="9" t="str">
        <f>Attendance!B42</f>
        <v>Poojari Ramu</v>
      </c>
      <c r="F44" s="3">
        <f>Attendance!AH42</f>
        <v>24</v>
      </c>
      <c r="G44" s="4">
        <f t="shared" si="0"/>
        <v>14143</v>
      </c>
    </row>
    <row r="45" spans="4:7" ht="16.8" x14ac:dyDescent="0.35">
      <c r="D45" s="5">
        <v>40</v>
      </c>
      <c r="E45" s="9" t="str">
        <f>Attendance!B43</f>
        <v>Porandla Chandar</v>
      </c>
      <c r="F45" s="3">
        <f>Attendance!AH43</f>
        <v>27</v>
      </c>
      <c r="G45" s="4">
        <f t="shared" si="0"/>
        <v>15911</v>
      </c>
    </row>
    <row r="46" spans="4:7" ht="16.8" x14ac:dyDescent="0.35">
      <c r="D46" s="5">
        <v>41</v>
      </c>
      <c r="E46" s="9" t="str">
        <f>Attendance!B44</f>
        <v>Ramavath Saimahesh Nayak</v>
      </c>
      <c r="F46" s="3">
        <f>Attendance!AH44</f>
        <v>27</v>
      </c>
      <c r="G46" s="4">
        <f t="shared" si="0"/>
        <v>15911</v>
      </c>
    </row>
    <row r="47" spans="4:7" ht="16.8" x14ac:dyDescent="0.35">
      <c r="D47" s="5">
        <v>42</v>
      </c>
      <c r="E47" s="9" t="str">
        <f>Attendance!B45</f>
        <v>Ramavath Uma Mahesh</v>
      </c>
      <c r="F47" s="3">
        <f>Attendance!AH45</f>
        <v>28</v>
      </c>
      <c r="G47" s="4">
        <f t="shared" si="0"/>
        <v>16500</v>
      </c>
    </row>
    <row r="48" spans="4:7" ht="16.8" x14ac:dyDescent="0.35">
      <c r="D48" s="5">
        <v>43</v>
      </c>
      <c r="E48" s="9" t="str">
        <f>Attendance!B46</f>
        <v>Ranabotu Saidi Reddy</v>
      </c>
      <c r="F48" s="3">
        <f>Attendance!AH46</f>
        <v>24</v>
      </c>
      <c r="G48" s="4">
        <f t="shared" si="0"/>
        <v>14143</v>
      </c>
    </row>
    <row r="49" spans="4:7" ht="16.8" x14ac:dyDescent="0.35">
      <c r="D49" s="5">
        <v>44</v>
      </c>
      <c r="E49" s="9" t="str">
        <f>Attendance!B47</f>
        <v>Sadde Sindhura</v>
      </c>
      <c r="F49" s="3">
        <f>Attendance!AH47</f>
        <v>26</v>
      </c>
      <c r="G49" s="4">
        <f t="shared" si="0"/>
        <v>15321</v>
      </c>
    </row>
    <row r="50" spans="4:7" ht="16.8" x14ac:dyDescent="0.35">
      <c r="D50" s="5">
        <v>45</v>
      </c>
      <c r="E50" s="9" t="str">
        <f>Attendance!B48</f>
        <v>Shaikh abdul Avesh</v>
      </c>
      <c r="F50" s="3">
        <f>Attendance!AH48</f>
        <v>28</v>
      </c>
      <c r="G50" s="4">
        <f t="shared" si="0"/>
        <v>16500</v>
      </c>
    </row>
    <row r="51" spans="4:7" ht="16.8" x14ac:dyDescent="0.35">
      <c r="D51" s="5">
        <v>46</v>
      </c>
      <c r="E51" s="9" t="str">
        <f>Attendance!B49</f>
        <v>Shivarathri Swapna</v>
      </c>
      <c r="F51" s="3">
        <f>Attendance!AH49</f>
        <v>26</v>
      </c>
      <c r="G51" s="4">
        <f t="shared" si="0"/>
        <v>15321</v>
      </c>
    </row>
    <row r="52" spans="4:7" ht="16.8" x14ac:dyDescent="0.35">
      <c r="D52" s="5">
        <v>47</v>
      </c>
      <c r="E52" s="9" t="str">
        <f>Attendance!B50</f>
        <v>Tandra Sabastin</v>
      </c>
      <c r="F52" s="3">
        <f>Attendance!AH50</f>
        <v>27</v>
      </c>
      <c r="G52" s="4">
        <f t="shared" si="0"/>
        <v>15911</v>
      </c>
    </row>
    <row r="53" spans="4:7" ht="16.8" x14ac:dyDescent="0.35">
      <c r="D53" s="5">
        <v>48</v>
      </c>
      <c r="E53" s="9" t="str">
        <f>Attendance!B51</f>
        <v>Thabasum Afreen</v>
      </c>
      <c r="F53" s="3">
        <f>Attendance!AH51</f>
        <v>27</v>
      </c>
      <c r="G53" s="4">
        <f t="shared" si="0"/>
        <v>15911</v>
      </c>
    </row>
    <row r="54" spans="4:7" ht="16.8" x14ac:dyDescent="0.35">
      <c r="D54" s="5">
        <v>49</v>
      </c>
      <c r="E54" s="9" t="str">
        <f>Attendance!B52</f>
        <v>Thatipally Manoj Kumar</v>
      </c>
      <c r="F54" s="3">
        <f>Attendance!AH52</f>
        <v>28</v>
      </c>
      <c r="G54" s="4">
        <f t="shared" si="0"/>
        <v>16500</v>
      </c>
    </row>
    <row r="55" spans="4:7" ht="16.8" x14ac:dyDescent="0.35">
      <c r="D55" s="5">
        <v>50</v>
      </c>
      <c r="E55" s="9" t="str">
        <f>Attendance!B53</f>
        <v>Thurpati vijay Bhaskar</v>
      </c>
      <c r="F55" s="3">
        <f>Attendance!AH53</f>
        <v>23</v>
      </c>
      <c r="G55" s="4">
        <f t="shared" si="0"/>
        <v>13554</v>
      </c>
    </row>
    <row r="56" spans="4:7" ht="16.8" x14ac:dyDescent="0.35">
      <c r="D56" s="5">
        <v>51</v>
      </c>
      <c r="E56" s="9" t="str">
        <f>Attendance!B54</f>
        <v>Ushanolla Ravali</v>
      </c>
      <c r="F56" s="3">
        <f>Attendance!AH54</f>
        <v>27</v>
      </c>
      <c r="G56" s="4">
        <f t="shared" si="0"/>
        <v>15911</v>
      </c>
    </row>
    <row r="57" spans="4:7" ht="16.8" x14ac:dyDescent="0.35">
      <c r="D57" s="5">
        <v>52</v>
      </c>
      <c r="E57" s="9" t="str">
        <f>Attendance!B55</f>
        <v>Ushanula Ramya</v>
      </c>
      <c r="F57" s="3">
        <f>Attendance!AH55</f>
        <v>27</v>
      </c>
      <c r="G57" s="4">
        <f t="shared" si="0"/>
        <v>15911</v>
      </c>
    </row>
    <row r="58" spans="4:7" ht="17.399999999999999" thickBot="1" x14ac:dyDescent="0.4">
      <c r="D58" s="5">
        <v>53</v>
      </c>
      <c r="E58" s="9" t="str">
        <f>Attendance!B56</f>
        <v>Chejerla Nagavamsidhar Reddy</v>
      </c>
      <c r="F58" s="3">
        <f>Attendance!AH56</f>
        <v>27</v>
      </c>
      <c r="G58" s="4">
        <f t="shared" si="0"/>
        <v>15911</v>
      </c>
    </row>
    <row r="59" spans="4:7" ht="15.6" thickBot="1" x14ac:dyDescent="0.4">
      <c r="D59" s="19"/>
      <c r="E59" s="101" t="s">
        <v>4</v>
      </c>
      <c r="F59" s="102"/>
      <c r="G59" s="18">
        <f>SUM(G6:G58)</f>
        <v>802019</v>
      </c>
    </row>
    <row r="60" spans="4:7" x14ac:dyDescent="0.35">
      <c r="G60" s="16"/>
    </row>
  </sheetData>
  <mergeCells count="2">
    <mergeCell ref="D2:G2"/>
    <mergeCell ref="E59:F5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D2D2-EC9B-4772-AD6D-CCD55DA36DCC}">
  <dimension ref="A1:BE57"/>
  <sheetViews>
    <sheetView zoomScale="49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5" sqref="A5:XFD5"/>
    </sheetView>
  </sheetViews>
  <sheetFormatPr defaultColWidth="9.21875" defaultRowHeight="17.100000000000001" customHeight="1" x14ac:dyDescent="0.3"/>
  <cols>
    <col min="1" max="1" width="5.21875" bestFit="1" customWidth="1"/>
    <col min="2" max="2" width="26.77734375" bestFit="1" customWidth="1"/>
    <col min="3" max="3" width="6" customWidth="1"/>
    <col min="4" max="32" width="5.77734375" customWidth="1"/>
    <col min="33" max="53" width="14.44140625" customWidth="1"/>
    <col min="54" max="55" width="17.21875" customWidth="1"/>
    <col min="56" max="56" width="17.77734375" customWidth="1"/>
    <col min="57" max="57" width="14.44140625" customWidth="1"/>
  </cols>
  <sheetData>
    <row r="1" spans="1:57" ht="17.100000000000001" customHeight="1" thickBot="1" x14ac:dyDescent="0.35">
      <c r="A1" s="78" t="s">
        <v>126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10"/>
      <c r="AF1" s="10"/>
      <c r="AG1" s="77" t="s">
        <v>35</v>
      </c>
      <c r="AH1" s="77" t="s">
        <v>36</v>
      </c>
      <c r="AI1" s="77" t="s">
        <v>37</v>
      </c>
      <c r="AJ1" s="77" t="s">
        <v>33</v>
      </c>
      <c r="AK1" s="77" t="s">
        <v>38</v>
      </c>
      <c r="AL1" s="77" t="s">
        <v>31</v>
      </c>
      <c r="AM1" s="77" t="s">
        <v>32</v>
      </c>
      <c r="AN1" s="77" t="s">
        <v>39</v>
      </c>
      <c r="AO1" s="77" t="s">
        <v>40</v>
      </c>
      <c r="AP1" s="77" t="s">
        <v>41</v>
      </c>
      <c r="AQ1" s="77" t="s">
        <v>42</v>
      </c>
      <c r="AR1" s="77" t="s">
        <v>43</v>
      </c>
      <c r="AS1" s="77" t="s">
        <v>44</v>
      </c>
      <c r="AT1" s="77" t="s">
        <v>45</v>
      </c>
      <c r="AU1" s="77" t="s">
        <v>107</v>
      </c>
      <c r="AV1" s="77" t="s">
        <v>46</v>
      </c>
      <c r="AW1" s="77" t="s">
        <v>47</v>
      </c>
      <c r="AX1" s="77" t="s">
        <v>48</v>
      </c>
      <c r="AY1" s="77" t="s">
        <v>49</v>
      </c>
      <c r="AZ1" s="77" t="s">
        <v>50</v>
      </c>
      <c r="BA1" s="77" t="s">
        <v>51</v>
      </c>
      <c r="BB1" s="77" t="s">
        <v>69</v>
      </c>
      <c r="BC1" s="77" t="s">
        <v>131</v>
      </c>
      <c r="BD1" s="77" t="s">
        <v>120</v>
      </c>
      <c r="BE1" s="80" t="s">
        <v>20</v>
      </c>
    </row>
    <row r="2" spans="1:57" ht="17.100000000000001" customHeight="1" x14ac:dyDescent="0.35">
      <c r="A2" s="81" t="s">
        <v>0</v>
      </c>
      <c r="B2" s="83" t="s">
        <v>1</v>
      </c>
      <c r="C2" s="6">
        <f>Attendance!C2</f>
        <v>46054</v>
      </c>
      <c r="D2" s="6">
        <f>Attendance!D2</f>
        <v>46055</v>
      </c>
      <c r="E2" s="6">
        <f>Attendance!E2</f>
        <v>46056</v>
      </c>
      <c r="F2" s="6">
        <f>Attendance!F2</f>
        <v>46057</v>
      </c>
      <c r="G2" s="6">
        <f>Attendance!G2</f>
        <v>46058</v>
      </c>
      <c r="H2" s="6">
        <f>Attendance!H2</f>
        <v>46059</v>
      </c>
      <c r="I2" s="6">
        <f>Attendance!I2</f>
        <v>46060</v>
      </c>
      <c r="J2" s="6">
        <f>Attendance!J2</f>
        <v>46061</v>
      </c>
      <c r="K2" s="6">
        <f>Attendance!K2</f>
        <v>46062</v>
      </c>
      <c r="L2" s="6">
        <f>Attendance!L2</f>
        <v>46063</v>
      </c>
      <c r="M2" s="6">
        <f>Attendance!M2</f>
        <v>46064</v>
      </c>
      <c r="N2" s="6">
        <f>Attendance!N2</f>
        <v>46065</v>
      </c>
      <c r="O2" s="6">
        <f>Attendance!O2</f>
        <v>46066</v>
      </c>
      <c r="P2" s="6">
        <f>Attendance!P2</f>
        <v>46067</v>
      </c>
      <c r="Q2" s="6">
        <f>Attendance!Q2</f>
        <v>46068</v>
      </c>
      <c r="R2" s="6">
        <f>Attendance!R2</f>
        <v>46069</v>
      </c>
      <c r="S2" s="6">
        <f>Attendance!S2</f>
        <v>46070</v>
      </c>
      <c r="T2" s="6">
        <f>Attendance!T2</f>
        <v>46071</v>
      </c>
      <c r="U2" s="6">
        <f>Attendance!U2</f>
        <v>46072</v>
      </c>
      <c r="V2" s="6">
        <f>Attendance!V2</f>
        <v>46073</v>
      </c>
      <c r="W2" s="6">
        <f>Attendance!W2</f>
        <v>46074</v>
      </c>
      <c r="X2" s="6">
        <f>Attendance!X2</f>
        <v>46075</v>
      </c>
      <c r="Y2" s="6">
        <f>Attendance!Y2</f>
        <v>46076</v>
      </c>
      <c r="Z2" s="6">
        <f>Attendance!Z2</f>
        <v>46077</v>
      </c>
      <c r="AA2" s="6">
        <f>Attendance!AA2</f>
        <v>46078</v>
      </c>
      <c r="AB2" s="6">
        <f>Attendance!AB2</f>
        <v>46079</v>
      </c>
      <c r="AC2" s="6">
        <f>Attendance!AC2</f>
        <v>46080</v>
      </c>
      <c r="AD2" s="6">
        <f>Attendance!AD2</f>
        <v>46081</v>
      </c>
      <c r="AE2" s="11"/>
      <c r="AF2" s="85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80"/>
    </row>
    <row r="3" spans="1:57" ht="17.100000000000001" customHeight="1" x14ac:dyDescent="0.3">
      <c r="A3" s="82"/>
      <c r="B3" s="84"/>
      <c r="C3" s="7" t="str">
        <f>TEXT(C2,"ddd")</f>
        <v>Sun</v>
      </c>
      <c r="D3" s="7" t="str">
        <f>TEXT(D2,"ddd")</f>
        <v>Mon</v>
      </c>
      <c r="E3" s="7" t="str">
        <f>TEXT(E2,"ddd")</f>
        <v>Tue</v>
      </c>
      <c r="F3" s="7" t="str">
        <f>TEXT(F2,"ddd")</f>
        <v>Wed</v>
      </c>
      <c r="G3" s="7" t="str">
        <f>TEXT(G2,"ddd")</f>
        <v>Thu</v>
      </c>
      <c r="H3" s="7" t="str">
        <f>TEXT(H2,"ddd")</f>
        <v>Fri</v>
      </c>
      <c r="I3" s="7" t="str">
        <f>TEXT(I2,"ddd")</f>
        <v>Sat</v>
      </c>
      <c r="J3" s="7" t="str">
        <f>TEXT(J2,"ddd")</f>
        <v>Sun</v>
      </c>
      <c r="K3" s="7" t="str">
        <f>TEXT(K2,"ddd")</f>
        <v>Mon</v>
      </c>
      <c r="L3" s="7" t="str">
        <f>TEXT(L2,"ddd")</f>
        <v>Tue</v>
      </c>
      <c r="M3" s="7" t="str">
        <f>TEXT(M2,"ddd")</f>
        <v>Wed</v>
      </c>
      <c r="N3" s="7" t="str">
        <f>TEXT(N2,"ddd")</f>
        <v>Thu</v>
      </c>
      <c r="O3" s="7" t="str">
        <f>TEXT(O2,"ddd")</f>
        <v>Fri</v>
      </c>
      <c r="P3" s="7" t="str">
        <f>TEXT(P2,"ddd")</f>
        <v>Sat</v>
      </c>
      <c r="Q3" s="7" t="str">
        <f>TEXT(Q2,"ddd")</f>
        <v>Sun</v>
      </c>
      <c r="R3" s="7" t="str">
        <f>TEXT(R2,"ddd")</f>
        <v>Mon</v>
      </c>
      <c r="S3" s="7" t="str">
        <f>TEXT(S2,"ddd")</f>
        <v>Tue</v>
      </c>
      <c r="T3" s="7" t="str">
        <f>TEXT(T2,"ddd")</f>
        <v>Wed</v>
      </c>
      <c r="U3" s="7" t="str">
        <f>TEXT(U2,"ddd")</f>
        <v>Thu</v>
      </c>
      <c r="V3" s="7" t="str">
        <f>TEXT(V2,"ddd")</f>
        <v>Fri</v>
      </c>
      <c r="W3" s="7" t="str">
        <f>TEXT(W2,"ddd")</f>
        <v>Sat</v>
      </c>
      <c r="X3" s="7" t="str">
        <f>TEXT(X2,"ddd")</f>
        <v>Sun</v>
      </c>
      <c r="Y3" s="7" t="str">
        <f>TEXT(Y2,"ddd")</f>
        <v>Mon</v>
      </c>
      <c r="Z3" s="7" t="str">
        <f>TEXT(Z2,"ddd")</f>
        <v>Tue</v>
      </c>
      <c r="AA3" s="7" t="str">
        <f>TEXT(AA2,"ddd")</f>
        <v>Wed</v>
      </c>
      <c r="AB3" s="7" t="str">
        <f>TEXT(AB2,"ddd")</f>
        <v>Thu</v>
      </c>
      <c r="AC3" s="7" t="str">
        <f>TEXT(AC2,"ddd")</f>
        <v>Fri</v>
      </c>
      <c r="AD3" s="7" t="str">
        <f>TEXT(AD2,"ddd")</f>
        <v>Sat</v>
      </c>
      <c r="AE3" s="12"/>
      <c r="AF3" s="86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80"/>
    </row>
    <row r="4" spans="1:57" ht="17.100000000000001" customHeight="1" x14ac:dyDescent="0.35">
      <c r="A4" s="20">
        <v>1</v>
      </c>
      <c r="B4" s="21" t="str">
        <f>Attendance!B4</f>
        <v>Ahmed Azam</v>
      </c>
      <c r="C4" s="22" t="str">
        <f>Attendance!C4</f>
        <v>H</v>
      </c>
      <c r="D4" s="22" t="str">
        <f>Attendance!D4</f>
        <v>P</v>
      </c>
      <c r="E4" s="22" t="str">
        <f>Attendance!E4</f>
        <v>L</v>
      </c>
      <c r="F4" s="22" t="str">
        <f>Attendance!F4</f>
        <v>L</v>
      </c>
      <c r="G4" s="22" t="str">
        <f>Attendance!G4</f>
        <v>p</v>
      </c>
      <c r="H4" s="22" t="str">
        <f>Attendance!H4</f>
        <v>p</v>
      </c>
      <c r="I4" s="22" t="str">
        <f>Attendance!I4</f>
        <v>p</v>
      </c>
      <c r="J4" s="22" t="str">
        <f>Attendance!J4</f>
        <v>H</v>
      </c>
      <c r="K4" s="22" t="str">
        <f>Attendance!K4</f>
        <v>P</v>
      </c>
      <c r="L4" s="22" t="str">
        <f>Attendance!L4</f>
        <v>P</v>
      </c>
      <c r="M4" s="22" t="str">
        <f>Attendance!M4</f>
        <v>L</v>
      </c>
      <c r="N4" s="22" t="str">
        <f>Attendance!N4</f>
        <v>P</v>
      </c>
      <c r="O4" s="22" t="str">
        <f>Attendance!O4</f>
        <v>P</v>
      </c>
      <c r="P4" s="22" t="str">
        <f>Attendance!P4</f>
        <v>L</v>
      </c>
      <c r="Q4" s="22" t="str">
        <f>Attendance!Q4</f>
        <v>H</v>
      </c>
      <c r="R4" s="22" t="str">
        <f>Attendance!R4</f>
        <v>L</v>
      </c>
      <c r="S4" s="22" t="str">
        <f>Attendance!S4</f>
        <v>P</v>
      </c>
      <c r="T4" s="22" t="str">
        <f>Attendance!T4</f>
        <v>L</v>
      </c>
      <c r="U4" s="22" t="str">
        <f>Attendance!U4</f>
        <v>P</v>
      </c>
      <c r="V4" s="22" t="str">
        <f>Attendance!V4</f>
        <v>P</v>
      </c>
      <c r="W4" s="22" t="str">
        <f>Attendance!W4</f>
        <v>P</v>
      </c>
      <c r="X4" s="22" t="str">
        <f>Attendance!X4</f>
        <v>H</v>
      </c>
      <c r="Y4" s="22" t="str">
        <f>Attendance!Y4</f>
        <v>P</v>
      </c>
      <c r="Z4" s="22" t="str">
        <f>Attendance!Z4</f>
        <v>P</v>
      </c>
      <c r="AA4" s="22" t="str">
        <f>Attendance!AA4</f>
        <v>P</v>
      </c>
      <c r="AB4" s="22" t="str">
        <f>Attendance!AB4</f>
        <v>P</v>
      </c>
      <c r="AC4" s="22" t="str">
        <f>Attendance!AC4</f>
        <v>P</v>
      </c>
      <c r="AD4" s="22" t="str">
        <f>Attendance!AD4</f>
        <v>P</v>
      </c>
      <c r="AE4" s="13">
        <f>Attendance!AI4/Attendance!AH4</f>
        <v>589.27272727272725</v>
      </c>
      <c r="AF4" s="13">
        <f>(COUNTIF(C4:AD4,"P")+COUNTIF(C4:AD4,"H"))</f>
        <v>22</v>
      </c>
      <c r="AG4" s="23">
        <v>0</v>
      </c>
      <c r="AH4" s="23">
        <v>0</v>
      </c>
      <c r="AI4" s="23">
        <v>0</v>
      </c>
      <c r="AJ4" s="23">
        <f>AE4*AF4</f>
        <v>12964</v>
      </c>
      <c r="AK4" s="23">
        <v>0</v>
      </c>
      <c r="AL4" s="23">
        <v>0</v>
      </c>
      <c r="AM4" s="23">
        <v>0</v>
      </c>
      <c r="AN4" s="23">
        <v>0</v>
      </c>
      <c r="AO4" s="23">
        <v>0</v>
      </c>
      <c r="AP4" s="23">
        <v>0</v>
      </c>
      <c r="AQ4" s="23">
        <v>0</v>
      </c>
      <c r="AR4" s="23">
        <v>0</v>
      </c>
      <c r="AS4" s="23">
        <v>0</v>
      </c>
      <c r="AT4" s="23">
        <v>0</v>
      </c>
      <c r="AU4" s="23">
        <v>0</v>
      </c>
      <c r="AV4" s="23">
        <v>0</v>
      </c>
      <c r="AW4" s="23">
        <v>0</v>
      </c>
      <c r="AX4" s="23">
        <v>0</v>
      </c>
      <c r="AY4" s="23">
        <v>0</v>
      </c>
      <c r="AZ4" s="23">
        <v>0</v>
      </c>
      <c r="BA4" s="23">
        <v>0</v>
      </c>
      <c r="BB4" s="23">
        <v>0</v>
      </c>
      <c r="BC4" s="23">
        <v>0</v>
      </c>
      <c r="BD4" s="23">
        <v>0</v>
      </c>
      <c r="BE4" s="23">
        <f>ROUND(SUM(AG4:BD4),0)</f>
        <v>12964</v>
      </c>
    </row>
    <row r="5" spans="1:57" ht="17.100000000000001" customHeight="1" x14ac:dyDescent="0.35">
      <c r="A5" s="24">
        <v>2</v>
      </c>
      <c r="B5" s="21" t="str">
        <f>Attendance!B5</f>
        <v>Anand Ganesh Chopade</v>
      </c>
      <c r="C5" s="22" t="str">
        <f>Attendance!C5</f>
        <v>H</v>
      </c>
      <c r="D5" s="22" t="str">
        <f>Attendance!D5</f>
        <v>P</v>
      </c>
      <c r="E5" s="22" t="str">
        <f>Attendance!E5</f>
        <v>P</v>
      </c>
      <c r="F5" s="22" t="str">
        <f>Attendance!F5</f>
        <v>P</v>
      </c>
      <c r="G5" s="22" t="str">
        <f>Attendance!G5</f>
        <v>p</v>
      </c>
      <c r="H5" s="22" t="str">
        <f>Attendance!H5</f>
        <v>p</v>
      </c>
      <c r="I5" s="22" t="str">
        <f>Attendance!I5</f>
        <v>p</v>
      </c>
      <c r="J5" s="22" t="str">
        <f>Attendance!J5</f>
        <v>H</v>
      </c>
      <c r="K5" s="22" t="str">
        <f>Attendance!K5</f>
        <v>P</v>
      </c>
      <c r="L5" s="22" t="str">
        <f>Attendance!L5</f>
        <v>P</v>
      </c>
      <c r="M5" s="22" t="str">
        <f>Attendance!M5</f>
        <v>P</v>
      </c>
      <c r="N5" s="22" t="str">
        <f>Attendance!N5</f>
        <v>P</v>
      </c>
      <c r="O5" s="22" t="str">
        <f>Attendance!O5</f>
        <v>P</v>
      </c>
      <c r="P5" s="22" t="str">
        <f>Attendance!P5</f>
        <v>P</v>
      </c>
      <c r="Q5" s="22" t="str">
        <f>Attendance!Q5</f>
        <v>H</v>
      </c>
      <c r="R5" s="22" t="str">
        <f>Attendance!R5</f>
        <v>P</v>
      </c>
      <c r="S5" s="22" t="str">
        <f>Attendance!S5</f>
        <v>P</v>
      </c>
      <c r="T5" s="22" t="str">
        <f>Attendance!T5</f>
        <v>P</v>
      </c>
      <c r="U5" s="22" t="str">
        <f>Attendance!U5</f>
        <v>P</v>
      </c>
      <c r="V5" s="22" t="str">
        <f>Attendance!V5</f>
        <v>P</v>
      </c>
      <c r="W5" s="22" t="str">
        <f>Attendance!W5</f>
        <v>P</v>
      </c>
      <c r="X5" s="22" t="str">
        <f>Attendance!X5</f>
        <v>H</v>
      </c>
      <c r="Y5" s="22" t="str">
        <f>Attendance!Y5</f>
        <v>P</v>
      </c>
      <c r="Z5" s="22" t="str">
        <f>Attendance!Z5</f>
        <v>P</v>
      </c>
      <c r="AA5" s="22" t="str">
        <f>Attendance!AA5</f>
        <v>P</v>
      </c>
      <c r="AB5" s="22" t="str">
        <f>Attendance!AB5</f>
        <v>P</v>
      </c>
      <c r="AC5" s="22" t="str">
        <f>Attendance!AC5</f>
        <v>P</v>
      </c>
      <c r="AD5" s="22" t="str">
        <f>Attendance!AD5</f>
        <v>P</v>
      </c>
      <c r="AE5" s="13">
        <f>Attendance!AI5/Attendance!AH5</f>
        <v>589.28571428571433</v>
      </c>
      <c r="AF5" s="13">
        <f>(COUNTIF(C5:AD5,"P")+COUNTIF(C5:AD5,"H"))</f>
        <v>28</v>
      </c>
      <c r="AG5" s="23">
        <v>0</v>
      </c>
      <c r="AH5" s="23">
        <v>0</v>
      </c>
      <c r="AI5" s="23">
        <v>0</v>
      </c>
      <c r="AJ5" s="23">
        <v>0</v>
      </c>
      <c r="AK5" s="23">
        <v>0</v>
      </c>
      <c r="AL5" s="23">
        <v>0</v>
      </c>
      <c r="AM5" s="23">
        <v>0</v>
      </c>
      <c r="AN5" s="23">
        <v>0</v>
      </c>
      <c r="AO5" s="23">
        <v>0</v>
      </c>
      <c r="AP5" s="23">
        <v>0</v>
      </c>
      <c r="AQ5" s="23">
        <v>0</v>
      </c>
      <c r="AR5" s="23">
        <v>0</v>
      </c>
      <c r="AS5" s="23">
        <v>0</v>
      </c>
      <c r="AT5" s="23">
        <v>0</v>
      </c>
      <c r="AU5" s="23">
        <v>0</v>
      </c>
      <c r="AV5" s="23">
        <v>0</v>
      </c>
      <c r="AW5" s="23">
        <v>0</v>
      </c>
      <c r="AX5" s="23">
        <v>0</v>
      </c>
      <c r="AY5" s="23">
        <v>0</v>
      </c>
      <c r="AZ5" s="23">
        <v>0</v>
      </c>
      <c r="BA5" s="23">
        <v>0</v>
      </c>
      <c r="BB5" s="23">
        <v>0</v>
      </c>
      <c r="BC5" s="23">
        <f>AE5*AF5</f>
        <v>16500</v>
      </c>
      <c r="BD5" s="23">
        <v>0</v>
      </c>
      <c r="BE5" s="23">
        <f>ROUND(SUM(AG5:BD5),0)</f>
        <v>16500</v>
      </c>
    </row>
    <row r="6" spans="1:57" ht="17.100000000000001" customHeight="1" x14ac:dyDescent="0.35">
      <c r="A6" s="20">
        <v>3</v>
      </c>
      <c r="B6" s="21" t="str">
        <f>Attendance!B6</f>
        <v>Arundathi Jalagam</v>
      </c>
      <c r="C6" s="22" t="str">
        <f>Attendance!C6</f>
        <v>H</v>
      </c>
      <c r="D6" s="22" t="str">
        <f>Attendance!D6</f>
        <v>P</v>
      </c>
      <c r="E6" s="22" t="str">
        <f>Attendance!E6</f>
        <v>P</v>
      </c>
      <c r="F6" s="22" t="str">
        <f>Attendance!F6</f>
        <v>P</v>
      </c>
      <c r="G6" s="22" t="str">
        <f>Attendance!G6</f>
        <v>p</v>
      </c>
      <c r="H6" s="22" t="str">
        <f>Attendance!H6</f>
        <v>p</v>
      </c>
      <c r="I6" s="22" t="str">
        <f>Attendance!I6</f>
        <v>p</v>
      </c>
      <c r="J6" s="22" t="str">
        <f>Attendance!J6</f>
        <v>H</v>
      </c>
      <c r="K6" s="22" t="str">
        <f>Attendance!K6</f>
        <v>P</v>
      </c>
      <c r="L6" s="22" t="str">
        <f>Attendance!L6</f>
        <v>P</v>
      </c>
      <c r="M6" s="22" t="str">
        <f>Attendance!M6</f>
        <v>P</v>
      </c>
      <c r="N6" s="22" t="str">
        <f>Attendance!N6</f>
        <v>P</v>
      </c>
      <c r="O6" s="22" t="str">
        <f>Attendance!O6</f>
        <v>P</v>
      </c>
      <c r="P6" s="22" t="str">
        <f>Attendance!P6</f>
        <v>P</v>
      </c>
      <c r="Q6" s="22" t="str">
        <f>Attendance!Q6</f>
        <v>H</v>
      </c>
      <c r="R6" s="22" t="str">
        <f>Attendance!R6</f>
        <v>L</v>
      </c>
      <c r="S6" s="22" t="str">
        <f>Attendance!S6</f>
        <v>P</v>
      </c>
      <c r="T6" s="22" t="str">
        <f>Attendance!T6</f>
        <v>P</v>
      </c>
      <c r="U6" s="22" t="str">
        <f>Attendance!U6</f>
        <v>P</v>
      </c>
      <c r="V6" s="22" t="str">
        <f>Attendance!V6</f>
        <v>P</v>
      </c>
      <c r="W6" s="22" t="str">
        <f>Attendance!W6</f>
        <v>P</v>
      </c>
      <c r="X6" s="22" t="str">
        <f>Attendance!X6</f>
        <v>H</v>
      </c>
      <c r="Y6" s="22" t="str">
        <f>Attendance!Y6</f>
        <v>P</v>
      </c>
      <c r="Z6" s="22" t="str">
        <f>Attendance!Z6</f>
        <v>P</v>
      </c>
      <c r="AA6" s="22" t="str">
        <f>Attendance!AA6</f>
        <v>P</v>
      </c>
      <c r="AB6" s="22" t="str">
        <f>Attendance!AB6</f>
        <v>P</v>
      </c>
      <c r="AC6" s="22" t="str">
        <f>Attendance!AC6</f>
        <v>P</v>
      </c>
      <c r="AD6" s="22" t="str">
        <f>Attendance!AD6</f>
        <v>P</v>
      </c>
      <c r="AE6" s="13">
        <f>Attendance!AI6/Attendance!AH6</f>
        <v>589.2962962962963</v>
      </c>
      <c r="AF6" s="13">
        <f>(COUNTIF(C6:AD6,"P")+COUNTIF(C6:AD6,"H"))</f>
        <v>27</v>
      </c>
      <c r="AG6" s="23">
        <v>0</v>
      </c>
      <c r="AH6" s="23">
        <v>0</v>
      </c>
      <c r="AI6" s="23">
        <f>AE6*13</f>
        <v>7660.8518518518522</v>
      </c>
      <c r="AJ6" s="23">
        <v>0</v>
      </c>
      <c r="AK6" s="23">
        <v>0</v>
      </c>
      <c r="AL6" s="23">
        <v>0</v>
      </c>
      <c r="AM6" s="23">
        <v>0</v>
      </c>
      <c r="AN6" s="23">
        <v>0</v>
      </c>
      <c r="AO6" s="23">
        <v>0</v>
      </c>
      <c r="AP6" s="23">
        <v>0</v>
      </c>
      <c r="AQ6" s="23">
        <v>0</v>
      </c>
      <c r="AR6" s="23">
        <v>0</v>
      </c>
      <c r="AS6" s="23">
        <v>0</v>
      </c>
      <c r="AT6" s="23">
        <f>AE6*14</f>
        <v>8250.1481481481478</v>
      </c>
      <c r="AU6" s="23">
        <v>0</v>
      </c>
      <c r="AV6" s="23">
        <v>0</v>
      </c>
      <c r="AW6" s="23">
        <v>0</v>
      </c>
      <c r="AX6" s="23">
        <v>0</v>
      </c>
      <c r="AY6" s="23">
        <v>0</v>
      </c>
      <c r="AZ6" s="23">
        <v>0</v>
      </c>
      <c r="BA6" s="23">
        <v>0</v>
      </c>
      <c r="BB6" s="23">
        <v>0</v>
      </c>
      <c r="BC6" s="23">
        <v>0</v>
      </c>
      <c r="BD6" s="23">
        <v>0</v>
      </c>
      <c r="BE6" s="23">
        <f>ROUND(SUM(AG6:BD6),0)</f>
        <v>15911</v>
      </c>
    </row>
    <row r="7" spans="1:57" ht="17.100000000000001" customHeight="1" x14ac:dyDescent="0.35">
      <c r="A7" s="24">
        <v>4</v>
      </c>
      <c r="B7" s="21" t="str">
        <f>Attendance!B7</f>
        <v>Bonagiri Rehana</v>
      </c>
      <c r="C7" s="22" t="str">
        <f>Attendance!C7</f>
        <v>H</v>
      </c>
      <c r="D7" s="22" t="str">
        <f>Attendance!D7</f>
        <v>P</v>
      </c>
      <c r="E7" s="22" t="str">
        <f>Attendance!E7</f>
        <v>P</v>
      </c>
      <c r="F7" s="22" t="str">
        <f>Attendance!F7</f>
        <v>P</v>
      </c>
      <c r="G7" s="22" t="str">
        <f>Attendance!G7</f>
        <v>P</v>
      </c>
      <c r="H7" s="22" t="str">
        <f>Attendance!H7</f>
        <v>P</v>
      </c>
      <c r="I7" s="22" t="str">
        <f>Attendance!I7</f>
        <v>P</v>
      </c>
      <c r="J7" s="22" t="str">
        <f>Attendance!J7</f>
        <v>H</v>
      </c>
      <c r="K7" s="22" t="str">
        <f>Attendance!K7</f>
        <v>P</v>
      </c>
      <c r="L7" s="22" t="str">
        <f>Attendance!L7</f>
        <v>P</v>
      </c>
      <c r="M7" s="22" t="str">
        <f>Attendance!M7</f>
        <v>P</v>
      </c>
      <c r="N7" s="22" t="str">
        <f>Attendance!N7</f>
        <v>P</v>
      </c>
      <c r="O7" s="22" t="str">
        <f>Attendance!O7</f>
        <v>P</v>
      </c>
      <c r="P7" s="22" t="str">
        <f>Attendance!P7</f>
        <v>P</v>
      </c>
      <c r="Q7" s="22" t="str">
        <f>Attendance!Q7</f>
        <v>H</v>
      </c>
      <c r="R7" s="22" t="str">
        <f>Attendance!R7</f>
        <v>L</v>
      </c>
      <c r="S7" s="22" t="str">
        <f>Attendance!S7</f>
        <v>P</v>
      </c>
      <c r="T7" s="22" t="str">
        <f>Attendance!T7</f>
        <v>P</v>
      </c>
      <c r="U7" s="22" t="str">
        <f>Attendance!U7</f>
        <v>P</v>
      </c>
      <c r="V7" s="22" t="str">
        <f>Attendance!V7</f>
        <v>P</v>
      </c>
      <c r="W7" s="22" t="str">
        <f>Attendance!W7</f>
        <v>P</v>
      </c>
      <c r="X7" s="22" t="str">
        <f>Attendance!X7</f>
        <v>H</v>
      </c>
      <c r="Y7" s="22" t="str">
        <f>Attendance!Y7</f>
        <v>P</v>
      </c>
      <c r="Z7" s="22" t="str">
        <f>Attendance!Z7</f>
        <v>P</v>
      </c>
      <c r="AA7" s="22" t="str">
        <f>Attendance!AA7</f>
        <v>P</v>
      </c>
      <c r="AB7" s="22" t="str">
        <f>Attendance!AB7</f>
        <v>P</v>
      </c>
      <c r="AC7" s="22" t="str">
        <f>Attendance!AC7</f>
        <v>P</v>
      </c>
      <c r="AD7" s="22" t="str">
        <f>Attendance!AD7</f>
        <v>P</v>
      </c>
      <c r="AE7" s="13">
        <f>Attendance!AI7/Attendance!AH7</f>
        <v>589.2962962962963</v>
      </c>
      <c r="AF7" s="13">
        <f>(COUNTIF(C7:AD7,"P")+COUNTIF(C7:AD7,"H"))</f>
        <v>27</v>
      </c>
      <c r="AG7" s="23">
        <v>0</v>
      </c>
      <c r="AH7" s="23">
        <v>0</v>
      </c>
      <c r="AI7" s="23">
        <v>0</v>
      </c>
      <c r="AJ7" s="23">
        <v>0</v>
      </c>
      <c r="AK7" s="23">
        <v>0</v>
      </c>
      <c r="AL7" s="23">
        <v>0</v>
      </c>
      <c r="AM7" s="23">
        <v>0</v>
      </c>
      <c r="AN7" s="23">
        <v>0</v>
      </c>
      <c r="AO7" s="23">
        <v>0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f>AE7*AF7</f>
        <v>15911</v>
      </c>
      <c r="AV7" s="23">
        <v>0</v>
      </c>
      <c r="AW7" s="23">
        <v>0</v>
      </c>
      <c r="AX7" s="23">
        <v>0</v>
      </c>
      <c r="AY7" s="23">
        <v>0</v>
      </c>
      <c r="AZ7" s="23">
        <v>0</v>
      </c>
      <c r="BA7" s="23">
        <v>0</v>
      </c>
      <c r="BB7" s="23">
        <v>0</v>
      </c>
      <c r="BC7" s="23">
        <v>0</v>
      </c>
      <c r="BD7" s="23">
        <v>0</v>
      </c>
      <c r="BE7" s="23">
        <f>ROUND(SUM(AG7:BD7),0)</f>
        <v>15911</v>
      </c>
    </row>
    <row r="8" spans="1:57" ht="17.100000000000001" customHeight="1" x14ac:dyDescent="0.35">
      <c r="A8" s="20">
        <v>5</v>
      </c>
      <c r="B8" s="21" t="str">
        <f>Attendance!B8</f>
        <v>Chouta Keerthana</v>
      </c>
      <c r="C8" s="22" t="str">
        <f>Attendance!C8</f>
        <v>H</v>
      </c>
      <c r="D8" s="22" t="str">
        <f>Attendance!D8</f>
        <v>P</v>
      </c>
      <c r="E8" s="22" t="str">
        <f>Attendance!E8</f>
        <v>P</v>
      </c>
      <c r="F8" s="22" t="str">
        <f>Attendance!F8</f>
        <v>P</v>
      </c>
      <c r="G8" s="22" t="str">
        <f>Attendance!G8</f>
        <v>P</v>
      </c>
      <c r="H8" s="22" t="str">
        <f>Attendance!H8</f>
        <v>P</v>
      </c>
      <c r="I8" s="22" t="str">
        <f>Attendance!I8</f>
        <v>P</v>
      </c>
      <c r="J8" s="22" t="str">
        <f>Attendance!J8</f>
        <v>H</v>
      </c>
      <c r="K8" s="22" t="str">
        <f>Attendance!K8</f>
        <v>L</v>
      </c>
      <c r="L8" s="22" t="str">
        <f>Attendance!L8</f>
        <v>P</v>
      </c>
      <c r="M8" s="22" t="str">
        <f>Attendance!M8</f>
        <v>P</v>
      </c>
      <c r="N8" s="22" t="str">
        <f>Attendance!N8</f>
        <v>L</v>
      </c>
      <c r="O8" s="22" t="str">
        <f>Attendance!O8</f>
        <v>L</v>
      </c>
      <c r="P8" s="22" t="str">
        <f>Attendance!P8</f>
        <v>L</v>
      </c>
      <c r="Q8" s="22" t="str">
        <f>Attendance!Q8</f>
        <v>H</v>
      </c>
      <c r="R8" s="22" t="str">
        <f>Attendance!R8</f>
        <v>P</v>
      </c>
      <c r="S8" s="22" t="str">
        <f>Attendance!S8</f>
        <v>P</v>
      </c>
      <c r="T8" s="22" t="str">
        <f>Attendance!T8</f>
        <v>L</v>
      </c>
      <c r="U8" s="22" t="str">
        <f>Attendance!U8</f>
        <v>P</v>
      </c>
      <c r="V8" s="22" t="str">
        <f>Attendance!V8</f>
        <v>P</v>
      </c>
      <c r="W8" s="22" t="str">
        <f>Attendance!W8</f>
        <v>P</v>
      </c>
      <c r="X8" s="22" t="str">
        <f>Attendance!X8</f>
        <v>H</v>
      </c>
      <c r="Y8" s="22" t="str">
        <f>Attendance!Y8</f>
        <v>P</v>
      </c>
      <c r="Z8" s="22" t="str">
        <f>Attendance!Z8</f>
        <v>P</v>
      </c>
      <c r="AA8" s="22" t="str">
        <f>Attendance!AA8</f>
        <v>P</v>
      </c>
      <c r="AB8" s="22" t="str">
        <f>Attendance!AB8</f>
        <v>P</v>
      </c>
      <c r="AC8" s="22" t="str">
        <f>Attendance!AC8</f>
        <v>P</v>
      </c>
      <c r="AD8" s="22" t="str">
        <f>Attendance!AD8</f>
        <v>P</v>
      </c>
      <c r="AE8" s="13">
        <f>Attendance!AI8/Attendance!AH8</f>
        <v>589.304347826087</v>
      </c>
      <c r="AF8" s="13">
        <f>(COUNTIF(C8:AD8,"P")+COUNTIF(C8:AD8,"H"))</f>
        <v>23</v>
      </c>
      <c r="AG8" s="23">
        <v>0</v>
      </c>
      <c r="AH8" s="23">
        <v>0</v>
      </c>
      <c r="AI8" s="23">
        <v>0</v>
      </c>
      <c r="AJ8" s="23">
        <f>AE8*AF8</f>
        <v>13554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0</v>
      </c>
      <c r="AV8" s="23">
        <v>0</v>
      </c>
      <c r="AW8" s="23">
        <v>0</v>
      </c>
      <c r="AX8" s="23">
        <v>0</v>
      </c>
      <c r="AY8" s="23">
        <v>0</v>
      </c>
      <c r="AZ8" s="23">
        <v>0</v>
      </c>
      <c r="BA8" s="23">
        <v>0</v>
      </c>
      <c r="BB8" s="23">
        <v>0</v>
      </c>
      <c r="BC8" s="23">
        <v>0</v>
      </c>
      <c r="BD8" s="23">
        <v>0</v>
      </c>
      <c r="BE8" s="23">
        <f>ROUND(SUM(AG8:BD8),0)</f>
        <v>13554</v>
      </c>
    </row>
    <row r="9" spans="1:57" ht="17.100000000000001" customHeight="1" x14ac:dyDescent="0.35">
      <c r="A9" s="24">
        <v>6</v>
      </c>
      <c r="B9" s="21" t="str">
        <f>Attendance!B9</f>
        <v>Deshapaga Raghavendar</v>
      </c>
      <c r="C9" s="22" t="str">
        <f>Attendance!C9</f>
        <v>H</v>
      </c>
      <c r="D9" s="22" t="str">
        <f>Attendance!D9</f>
        <v>L</v>
      </c>
      <c r="E9" s="22" t="str">
        <f>Attendance!E9</f>
        <v>P</v>
      </c>
      <c r="F9" s="22" t="str">
        <f>Attendance!F9</f>
        <v>P</v>
      </c>
      <c r="G9" s="22" t="str">
        <f>Attendance!G9</f>
        <v>P</v>
      </c>
      <c r="H9" s="22" t="str">
        <f>Attendance!H9</f>
        <v>L</v>
      </c>
      <c r="I9" s="22" t="str">
        <f>Attendance!I9</f>
        <v>P</v>
      </c>
      <c r="J9" s="22" t="str">
        <f>Attendance!J9</f>
        <v>H</v>
      </c>
      <c r="K9" s="22" t="str">
        <f>Attendance!K9</f>
        <v>P</v>
      </c>
      <c r="L9" s="22" t="str">
        <f>Attendance!L9</f>
        <v>P</v>
      </c>
      <c r="M9" s="22" t="str">
        <f>Attendance!M9</f>
        <v>P</v>
      </c>
      <c r="N9" s="22" t="str">
        <f>Attendance!N9</f>
        <v>P</v>
      </c>
      <c r="O9" s="22" t="str">
        <f>Attendance!O9</f>
        <v>P</v>
      </c>
      <c r="P9" s="22" t="str">
        <f>Attendance!P9</f>
        <v>P</v>
      </c>
      <c r="Q9" s="22" t="str">
        <f>Attendance!Q9</f>
        <v>H</v>
      </c>
      <c r="R9" s="22" t="str">
        <f>Attendance!R9</f>
        <v>P</v>
      </c>
      <c r="S9" s="22" t="str">
        <f>Attendance!S9</f>
        <v>P</v>
      </c>
      <c r="T9" s="22" t="str">
        <f>Attendance!T9</f>
        <v>P</v>
      </c>
      <c r="U9" s="22" t="str">
        <f>Attendance!U9</f>
        <v>P</v>
      </c>
      <c r="V9" s="22" t="str">
        <f>Attendance!V9</f>
        <v>P</v>
      </c>
      <c r="W9" s="22" t="str">
        <f>Attendance!W9</f>
        <v>P</v>
      </c>
      <c r="X9" s="22" t="str">
        <f>Attendance!X9</f>
        <v>H</v>
      </c>
      <c r="Y9" s="22" t="str">
        <f>Attendance!Y9</f>
        <v>P</v>
      </c>
      <c r="Z9" s="22" t="str">
        <f>Attendance!Z9</f>
        <v>P</v>
      </c>
      <c r="AA9" s="22" t="str">
        <f>Attendance!AA9</f>
        <v>P</v>
      </c>
      <c r="AB9" s="22" t="str">
        <f>Attendance!AB9</f>
        <v>P</v>
      </c>
      <c r="AC9" s="22" t="str">
        <f>Attendance!AC9</f>
        <v>P</v>
      </c>
      <c r="AD9" s="22" t="str">
        <f>Attendance!AD9</f>
        <v>P</v>
      </c>
      <c r="AE9" s="13">
        <f>Attendance!AI9/Attendance!AH9</f>
        <v>589.26923076923072</v>
      </c>
      <c r="AF9" s="13">
        <f>(COUNTIF(C9:AD9,"P")+COUNTIF(C9:AD9,"H"))</f>
        <v>26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f>AE9*AF9</f>
        <v>15320.999999999998</v>
      </c>
      <c r="AV9" s="23">
        <v>0</v>
      </c>
      <c r="AW9" s="23">
        <v>0</v>
      </c>
      <c r="AX9" s="23">
        <v>0</v>
      </c>
      <c r="AY9" s="23">
        <v>0</v>
      </c>
      <c r="AZ9" s="23">
        <v>0</v>
      </c>
      <c r="BA9" s="23">
        <v>0</v>
      </c>
      <c r="BB9" s="23">
        <v>0</v>
      </c>
      <c r="BC9" s="23">
        <v>0</v>
      </c>
      <c r="BD9" s="23">
        <v>0</v>
      </c>
      <c r="BE9" s="23">
        <f>ROUND(SUM(AG9:BD9),0)</f>
        <v>15321</v>
      </c>
    </row>
    <row r="10" spans="1:57" ht="17.100000000000001" customHeight="1" x14ac:dyDescent="0.35">
      <c r="A10" s="20">
        <v>7</v>
      </c>
      <c r="B10" s="21" t="str">
        <f>Attendance!B10</f>
        <v>Dhenumakonda Lavanya</v>
      </c>
      <c r="C10" s="22" t="str">
        <f>Attendance!C10</f>
        <v>H</v>
      </c>
      <c r="D10" s="22" t="str">
        <f>Attendance!D10</f>
        <v>P</v>
      </c>
      <c r="E10" s="22" t="str">
        <f>Attendance!E10</f>
        <v>P</v>
      </c>
      <c r="F10" s="22" t="str">
        <f>Attendance!F10</f>
        <v>P</v>
      </c>
      <c r="G10" s="22" t="str">
        <f>Attendance!G10</f>
        <v>P</v>
      </c>
      <c r="H10" s="22" t="str">
        <f>Attendance!H10</f>
        <v>P</v>
      </c>
      <c r="I10" s="22" t="str">
        <f>Attendance!I10</f>
        <v>P</v>
      </c>
      <c r="J10" s="22" t="str">
        <f>Attendance!J10</f>
        <v>H</v>
      </c>
      <c r="K10" s="22" t="str">
        <f>Attendance!K10</f>
        <v>P</v>
      </c>
      <c r="L10" s="22" t="str">
        <f>Attendance!L10</f>
        <v>P</v>
      </c>
      <c r="M10" s="22" t="str">
        <f>Attendance!M10</f>
        <v>P</v>
      </c>
      <c r="N10" s="22" t="str">
        <f>Attendance!N10</f>
        <v>P</v>
      </c>
      <c r="O10" s="22" t="str">
        <f>Attendance!O10</f>
        <v>P</v>
      </c>
      <c r="P10" s="22" t="str">
        <f>Attendance!P10</f>
        <v>P</v>
      </c>
      <c r="Q10" s="22" t="str">
        <f>Attendance!Q10</f>
        <v>H</v>
      </c>
      <c r="R10" s="22" t="str">
        <f>Attendance!R10</f>
        <v>P</v>
      </c>
      <c r="S10" s="22" t="str">
        <f>Attendance!S10</f>
        <v>P</v>
      </c>
      <c r="T10" s="22" t="str">
        <f>Attendance!T10</f>
        <v>P</v>
      </c>
      <c r="U10" s="22" t="str">
        <f>Attendance!U10</f>
        <v>P</v>
      </c>
      <c r="V10" s="22" t="str">
        <f>Attendance!V10</f>
        <v>P</v>
      </c>
      <c r="W10" s="22" t="str">
        <f>Attendance!W10</f>
        <v>P</v>
      </c>
      <c r="X10" s="22" t="str">
        <f>Attendance!X10</f>
        <v>H</v>
      </c>
      <c r="Y10" s="22" t="str">
        <f>Attendance!Y10</f>
        <v>P</v>
      </c>
      <c r="Z10" s="22" t="str">
        <f>Attendance!Z10</f>
        <v>P</v>
      </c>
      <c r="AA10" s="22" t="str">
        <f>Attendance!AA10</f>
        <v>P</v>
      </c>
      <c r="AB10" s="22" t="str">
        <f>Attendance!AB10</f>
        <v>P</v>
      </c>
      <c r="AC10" s="22" t="str">
        <f>Attendance!AC10</f>
        <v>P</v>
      </c>
      <c r="AD10" s="22" t="str">
        <f>Attendance!AD10</f>
        <v>P</v>
      </c>
      <c r="AE10" s="13">
        <f>Attendance!AI10/Attendance!AH10</f>
        <v>589.28571428571433</v>
      </c>
      <c r="AF10" s="13">
        <f>(COUNTIF(C10:AD10,"P")+COUNTIF(C10:AD10,"H"))</f>
        <v>28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0</v>
      </c>
      <c r="AX10" s="23">
        <v>0</v>
      </c>
      <c r="AY10" s="23">
        <v>0</v>
      </c>
      <c r="AZ10" s="23">
        <v>0</v>
      </c>
      <c r="BA10" s="23">
        <v>0</v>
      </c>
      <c r="BB10" s="23">
        <v>0</v>
      </c>
      <c r="BC10" s="23">
        <f>AE10*AF10</f>
        <v>16500</v>
      </c>
      <c r="BD10" s="23">
        <v>0</v>
      </c>
      <c r="BE10" s="23">
        <f>ROUND(SUM(AG10:BD10),0)</f>
        <v>16500</v>
      </c>
    </row>
    <row r="11" spans="1:57" ht="17.100000000000001" customHeight="1" x14ac:dyDescent="0.35">
      <c r="A11" s="24">
        <v>8</v>
      </c>
      <c r="B11" s="21" t="str">
        <f>Attendance!B11</f>
        <v>Diravath Mounika</v>
      </c>
      <c r="C11" s="22" t="str">
        <f>Attendance!C11</f>
        <v>H</v>
      </c>
      <c r="D11" s="22" t="str">
        <f>Attendance!D11</f>
        <v>P</v>
      </c>
      <c r="E11" s="22" t="str">
        <f>Attendance!E11</f>
        <v>L</v>
      </c>
      <c r="F11" s="22" t="str">
        <f>Attendance!F11</f>
        <v>L</v>
      </c>
      <c r="G11" s="22" t="str">
        <f>Attendance!G11</f>
        <v>L</v>
      </c>
      <c r="H11" s="22" t="str">
        <f>Attendance!H11</f>
        <v>L</v>
      </c>
      <c r="I11" s="22" t="str">
        <f>Attendance!I11</f>
        <v>L</v>
      </c>
      <c r="J11" s="22" t="str">
        <f>Attendance!J11</f>
        <v>H</v>
      </c>
      <c r="K11" s="22" t="str">
        <f>Attendance!K11</f>
        <v>P</v>
      </c>
      <c r="L11" s="22" t="str">
        <f>Attendance!L11</f>
        <v>P</v>
      </c>
      <c r="M11" s="22" t="str">
        <f>Attendance!M11</f>
        <v>P</v>
      </c>
      <c r="N11" s="22" t="str">
        <f>Attendance!N11</f>
        <v>P</v>
      </c>
      <c r="O11" s="22" t="str">
        <f>Attendance!O11</f>
        <v>P</v>
      </c>
      <c r="P11" s="22" t="str">
        <f>Attendance!P11</f>
        <v>P</v>
      </c>
      <c r="Q11" s="22" t="str">
        <f>Attendance!Q11</f>
        <v>H</v>
      </c>
      <c r="R11" s="22" t="str">
        <f>Attendance!R11</f>
        <v>P</v>
      </c>
      <c r="S11" s="22" t="str">
        <f>Attendance!S11</f>
        <v>P</v>
      </c>
      <c r="T11" s="22" t="str">
        <f>Attendance!T11</f>
        <v>P</v>
      </c>
      <c r="U11" s="22" t="str">
        <f>Attendance!U11</f>
        <v>P</v>
      </c>
      <c r="V11" s="22" t="str">
        <f>Attendance!V11</f>
        <v>P</v>
      </c>
      <c r="W11" s="22" t="str">
        <f>Attendance!W11</f>
        <v>P</v>
      </c>
      <c r="X11" s="22" t="str">
        <f>Attendance!X11</f>
        <v>H</v>
      </c>
      <c r="Y11" s="22" t="str">
        <f>Attendance!Y11</f>
        <v>P</v>
      </c>
      <c r="Z11" s="22" t="str">
        <f>Attendance!Z11</f>
        <v>P</v>
      </c>
      <c r="AA11" s="22" t="str">
        <f>Attendance!AA11</f>
        <v>P</v>
      </c>
      <c r="AB11" s="22" t="str">
        <f>Attendance!AB11</f>
        <v>P</v>
      </c>
      <c r="AC11" s="22" t="str">
        <f>Attendance!AC11</f>
        <v>P</v>
      </c>
      <c r="AD11" s="22" t="str">
        <f>Attendance!AD11</f>
        <v>P</v>
      </c>
      <c r="AE11" s="13">
        <f>Attendance!AI11/Attendance!AH11</f>
        <v>589.304347826087</v>
      </c>
      <c r="AF11" s="13">
        <f>(COUNTIF(C11:AD11,"P")+COUNTIF(C11:AD11,"H"))</f>
        <v>23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f>AE11*AF11</f>
        <v>13554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0</v>
      </c>
      <c r="AX11" s="23">
        <v>0</v>
      </c>
      <c r="AY11" s="23">
        <v>0</v>
      </c>
      <c r="AZ11" s="23">
        <v>0</v>
      </c>
      <c r="BA11" s="23">
        <v>0</v>
      </c>
      <c r="BB11" s="23">
        <v>0</v>
      </c>
      <c r="BC11" s="23">
        <v>0</v>
      </c>
      <c r="BD11" s="23">
        <v>0</v>
      </c>
      <c r="BE11" s="23">
        <f>ROUND(SUM(AG11:BD11),0)</f>
        <v>13554</v>
      </c>
    </row>
    <row r="12" spans="1:57" ht="17.100000000000001" customHeight="1" x14ac:dyDescent="0.35">
      <c r="A12" s="20">
        <v>9</v>
      </c>
      <c r="B12" s="21" t="str">
        <f>Attendance!B12</f>
        <v>Gaja Balanarayana</v>
      </c>
      <c r="C12" s="22" t="str">
        <f>Attendance!C12</f>
        <v>H</v>
      </c>
      <c r="D12" s="22" t="str">
        <f>Attendance!D12</f>
        <v>P</v>
      </c>
      <c r="E12" s="22" t="str">
        <f>Attendance!E12</f>
        <v>P</v>
      </c>
      <c r="F12" s="22" t="str">
        <f>Attendance!F12</f>
        <v>P</v>
      </c>
      <c r="G12" s="22" t="str">
        <f>Attendance!G12</f>
        <v>P</v>
      </c>
      <c r="H12" s="22" t="str">
        <f>Attendance!H12</f>
        <v>P</v>
      </c>
      <c r="I12" s="22" t="str">
        <f>Attendance!I12</f>
        <v>P</v>
      </c>
      <c r="J12" s="22" t="str">
        <f>Attendance!J12</f>
        <v>H</v>
      </c>
      <c r="K12" s="22" t="str">
        <f>Attendance!K12</f>
        <v>P</v>
      </c>
      <c r="L12" s="22" t="str">
        <f>Attendance!L12</f>
        <v>P</v>
      </c>
      <c r="M12" s="22" t="str">
        <f>Attendance!M12</f>
        <v>P</v>
      </c>
      <c r="N12" s="22" t="str">
        <f>Attendance!N12</f>
        <v>P</v>
      </c>
      <c r="O12" s="22" t="str">
        <f>Attendance!O12</f>
        <v>P</v>
      </c>
      <c r="P12" s="22" t="str">
        <f>Attendance!P12</f>
        <v>P</v>
      </c>
      <c r="Q12" s="22" t="str">
        <f>Attendance!Q12</f>
        <v>H</v>
      </c>
      <c r="R12" s="22" t="str">
        <f>Attendance!R12</f>
        <v>P</v>
      </c>
      <c r="S12" s="22" t="str">
        <f>Attendance!S12</f>
        <v>P</v>
      </c>
      <c r="T12" s="22" t="str">
        <f>Attendance!T12</f>
        <v>P</v>
      </c>
      <c r="U12" s="22" t="str">
        <f>Attendance!U12</f>
        <v>P</v>
      </c>
      <c r="V12" s="22" t="str">
        <f>Attendance!V12</f>
        <v>P</v>
      </c>
      <c r="W12" s="22" t="str">
        <f>Attendance!W12</f>
        <v>P</v>
      </c>
      <c r="X12" s="22" t="str">
        <f>Attendance!X12</f>
        <v>H</v>
      </c>
      <c r="Y12" s="22" t="str">
        <f>Attendance!Y12</f>
        <v>L</v>
      </c>
      <c r="Z12" s="22" t="str">
        <f>Attendance!Z12</f>
        <v>L</v>
      </c>
      <c r="AA12" s="22" t="str">
        <f>Attendance!AA12</f>
        <v>P</v>
      </c>
      <c r="AB12" s="22" t="str">
        <f>Attendance!AB12</f>
        <v>P</v>
      </c>
      <c r="AC12" s="22" t="str">
        <f>Attendance!AC12</f>
        <v>P</v>
      </c>
      <c r="AD12" s="22" t="str">
        <f>Attendance!AD12</f>
        <v>P</v>
      </c>
      <c r="AE12" s="13">
        <f>Attendance!AI12/Attendance!AH12</f>
        <v>589.26923076923072</v>
      </c>
      <c r="AF12" s="13">
        <f>(COUNTIF(C12:AD12,"P")+COUNTIF(C12:AD12,"H"))</f>
        <v>26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0</v>
      </c>
      <c r="AX12" s="23">
        <v>0</v>
      </c>
      <c r="AY12" s="23">
        <v>0</v>
      </c>
      <c r="AZ12" s="23">
        <v>0</v>
      </c>
      <c r="BA12" s="23">
        <v>0</v>
      </c>
      <c r="BB12" s="23">
        <v>0</v>
      </c>
      <c r="BC12" s="23">
        <f>AE12*AF12</f>
        <v>15320.999999999998</v>
      </c>
      <c r="BD12" s="23">
        <v>0</v>
      </c>
      <c r="BE12" s="23">
        <f>ROUND(SUM(AG12:BD12),0)</f>
        <v>15321</v>
      </c>
    </row>
    <row r="13" spans="1:57" ht="16.5" customHeight="1" x14ac:dyDescent="0.35">
      <c r="A13" s="24">
        <v>10</v>
      </c>
      <c r="B13" s="21" t="str">
        <f>Attendance!B13</f>
        <v>Gopala Saritha</v>
      </c>
      <c r="C13" s="22" t="str">
        <f>Attendance!C13</f>
        <v>H</v>
      </c>
      <c r="D13" s="22" t="str">
        <f>Attendance!D13</f>
        <v>P</v>
      </c>
      <c r="E13" s="22" t="str">
        <f>Attendance!E13</f>
        <v>P</v>
      </c>
      <c r="F13" s="22" t="str">
        <f>Attendance!F13</f>
        <v>P</v>
      </c>
      <c r="G13" s="22" t="str">
        <f>Attendance!G13</f>
        <v>P</v>
      </c>
      <c r="H13" s="22" t="str">
        <f>Attendance!H13</f>
        <v>P</v>
      </c>
      <c r="I13" s="22" t="str">
        <f>Attendance!I13</f>
        <v>P</v>
      </c>
      <c r="J13" s="22" t="str">
        <f>Attendance!J13</f>
        <v>H</v>
      </c>
      <c r="K13" s="22" t="str">
        <f>Attendance!K13</f>
        <v>P</v>
      </c>
      <c r="L13" s="22" t="str">
        <f>Attendance!L13</f>
        <v>P</v>
      </c>
      <c r="M13" s="22" t="str">
        <f>Attendance!M13</f>
        <v>P</v>
      </c>
      <c r="N13" s="22" t="str">
        <f>Attendance!N13</f>
        <v>P</v>
      </c>
      <c r="O13" s="22" t="str">
        <f>Attendance!O13</f>
        <v>P</v>
      </c>
      <c r="P13" s="22" t="str">
        <f>Attendance!P13</f>
        <v>P</v>
      </c>
      <c r="Q13" s="22" t="str">
        <f>Attendance!Q13</f>
        <v>H</v>
      </c>
      <c r="R13" s="22" t="str">
        <f>Attendance!R13</f>
        <v>P</v>
      </c>
      <c r="S13" s="22" t="str">
        <f>Attendance!S13</f>
        <v>P</v>
      </c>
      <c r="T13" s="22" t="str">
        <f>Attendance!T13</f>
        <v>P</v>
      </c>
      <c r="U13" s="22" t="str">
        <f>Attendance!U13</f>
        <v>P</v>
      </c>
      <c r="V13" s="22" t="str">
        <f>Attendance!V13</f>
        <v>P</v>
      </c>
      <c r="W13" s="22" t="str">
        <f>Attendance!W13</f>
        <v>P</v>
      </c>
      <c r="X13" s="22" t="str">
        <f>Attendance!X13</f>
        <v>H</v>
      </c>
      <c r="Y13" s="22" t="str">
        <f>Attendance!Y13</f>
        <v>L</v>
      </c>
      <c r="Z13" s="22" t="str">
        <f>Attendance!Z13</f>
        <v>L</v>
      </c>
      <c r="AA13" s="22" t="str">
        <f>Attendance!AA13</f>
        <v>L</v>
      </c>
      <c r="AB13" s="22" t="str">
        <f>Attendance!AB13</f>
        <v>P</v>
      </c>
      <c r="AC13" s="22" t="str">
        <f>Attendance!AC13</f>
        <v>P</v>
      </c>
      <c r="AD13" s="22" t="str">
        <f>Attendance!AD13</f>
        <v>P</v>
      </c>
      <c r="AE13" s="13">
        <f>Attendance!AI13/Attendance!AH13</f>
        <v>589.28</v>
      </c>
      <c r="AF13" s="13">
        <f>(COUNTIF(C13:AD13,"P")+COUNTIF(C13:AD13,"H"))</f>
        <v>25</v>
      </c>
      <c r="AG13" s="23">
        <v>0</v>
      </c>
      <c r="AH13" s="23">
        <v>0</v>
      </c>
      <c r="AI13" s="23">
        <v>0</v>
      </c>
      <c r="AJ13" s="23">
        <v>0</v>
      </c>
      <c r="AK13" s="23">
        <f>AE13*AF13</f>
        <v>14732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0</v>
      </c>
      <c r="AX13" s="23">
        <v>0</v>
      </c>
      <c r="AY13" s="23">
        <v>0</v>
      </c>
      <c r="AZ13" s="23">
        <v>0</v>
      </c>
      <c r="BA13" s="23">
        <v>0</v>
      </c>
      <c r="BB13" s="23">
        <v>0</v>
      </c>
      <c r="BC13" s="23">
        <v>0</v>
      </c>
      <c r="BD13" s="23">
        <v>0</v>
      </c>
      <c r="BE13" s="23">
        <f>ROUND(SUM(AG13:BD13),0)</f>
        <v>14732</v>
      </c>
    </row>
    <row r="14" spans="1:57" ht="17.100000000000001" customHeight="1" x14ac:dyDescent="0.35">
      <c r="A14" s="20">
        <v>11</v>
      </c>
      <c r="B14" s="21" t="str">
        <f>Attendance!B14</f>
        <v>Gudise Hemanth Kumar</v>
      </c>
      <c r="C14" s="22" t="str">
        <f>Attendance!C14</f>
        <v>H</v>
      </c>
      <c r="D14" s="22" t="str">
        <f>Attendance!D14</f>
        <v>P</v>
      </c>
      <c r="E14" s="22" t="str">
        <f>Attendance!E14</f>
        <v>P</v>
      </c>
      <c r="F14" s="22" t="str">
        <f>Attendance!F14</f>
        <v>P</v>
      </c>
      <c r="G14" s="22" t="str">
        <f>Attendance!G14</f>
        <v>P</v>
      </c>
      <c r="H14" s="22" t="str">
        <f>Attendance!H14</f>
        <v>P</v>
      </c>
      <c r="I14" s="22" t="str">
        <f>Attendance!I14</f>
        <v>P</v>
      </c>
      <c r="J14" s="22" t="str">
        <f>Attendance!J14</f>
        <v>H</v>
      </c>
      <c r="K14" s="22" t="str">
        <f>Attendance!K14</f>
        <v>P</v>
      </c>
      <c r="L14" s="22" t="str">
        <f>Attendance!L14</f>
        <v>P</v>
      </c>
      <c r="M14" s="22" t="str">
        <f>Attendance!M14</f>
        <v>L</v>
      </c>
      <c r="N14" s="22" t="str">
        <f>Attendance!N14</f>
        <v>p</v>
      </c>
      <c r="O14" s="22" t="str">
        <f>Attendance!O14</f>
        <v>p</v>
      </c>
      <c r="P14" s="22" t="str">
        <f>Attendance!P14</f>
        <v>P</v>
      </c>
      <c r="Q14" s="22" t="str">
        <f>Attendance!Q14</f>
        <v>H</v>
      </c>
      <c r="R14" s="22" t="str">
        <f>Attendance!R14</f>
        <v>P</v>
      </c>
      <c r="S14" s="22" t="str">
        <f>Attendance!S14</f>
        <v>L</v>
      </c>
      <c r="T14" s="22" t="str">
        <f>Attendance!T14</f>
        <v>L</v>
      </c>
      <c r="U14" s="22" t="str">
        <f>Attendance!U14</f>
        <v>L</v>
      </c>
      <c r="V14" s="22" t="str">
        <f>Attendance!V14</f>
        <v>L</v>
      </c>
      <c r="W14" s="22" t="str">
        <f>Attendance!W14</f>
        <v>L</v>
      </c>
      <c r="X14" s="22" t="str">
        <f>Attendance!X14</f>
        <v>H</v>
      </c>
      <c r="Y14" s="22" t="str">
        <f>Attendance!Y14</f>
        <v>L</v>
      </c>
      <c r="Z14" s="22" t="str">
        <f>Attendance!Z14</f>
        <v>L</v>
      </c>
      <c r="AA14" s="22" t="str">
        <f>Attendance!AA14</f>
        <v>P</v>
      </c>
      <c r="AB14" s="22" t="str">
        <f>Attendance!AB14</f>
        <v>P</v>
      </c>
      <c r="AC14" s="22" t="str">
        <f>Attendance!AC14</f>
        <v>L</v>
      </c>
      <c r="AD14" s="22" t="str">
        <f>Attendance!AD14</f>
        <v>P</v>
      </c>
      <c r="AE14" s="13">
        <f>Attendance!AI14/Attendance!AH14</f>
        <v>589.26315789473688</v>
      </c>
      <c r="AF14" s="13">
        <f>(COUNTIF(C14:AD14,"P")+COUNTIF(C14:AD14,"H"))</f>
        <v>19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  <c r="AX14" s="23">
        <v>0</v>
      </c>
      <c r="AY14" s="23">
        <v>0</v>
      </c>
      <c r="AZ14" s="23">
        <v>0</v>
      </c>
      <c r="BA14" s="23">
        <v>0</v>
      </c>
      <c r="BB14" s="23">
        <f>AE14*AF14</f>
        <v>11196</v>
      </c>
      <c r="BC14" s="23">
        <v>0</v>
      </c>
      <c r="BD14" s="23">
        <v>0</v>
      </c>
      <c r="BE14" s="23">
        <f>ROUND(SUM(AG14:BD14),0)</f>
        <v>11196</v>
      </c>
    </row>
    <row r="15" spans="1:57" ht="17.100000000000001" customHeight="1" x14ac:dyDescent="0.35">
      <c r="A15" s="24">
        <v>12</v>
      </c>
      <c r="B15" s="21" t="str">
        <f>Attendance!B15</f>
        <v>Jetti Hima Sindhu</v>
      </c>
      <c r="C15" s="22" t="str">
        <f>Attendance!C15</f>
        <v>H</v>
      </c>
      <c r="D15" s="22" t="str">
        <f>Attendance!D15</f>
        <v>P</v>
      </c>
      <c r="E15" s="22" t="str">
        <f>Attendance!E15</f>
        <v>P</v>
      </c>
      <c r="F15" s="22" t="str">
        <f>Attendance!F15</f>
        <v>P</v>
      </c>
      <c r="G15" s="22" t="str">
        <f>Attendance!G15</f>
        <v>P</v>
      </c>
      <c r="H15" s="22" t="str">
        <f>Attendance!H15</f>
        <v>P</v>
      </c>
      <c r="I15" s="22" t="str">
        <f>Attendance!I15</f>
        <v>P</v>
      </c>
      <c r="J15" s="22" t="str">
        <f>Attendance!J15</f>
        <v>H</v>
      </c>
      <c r="K15" s="22" t="str">
        <f>Attendance!K15</f>
        <v>P</v>
      </c>
      <c r="L15" s="22" t="str">
        <f>Attendance!L15</f>
        <v>P</v>
      </c>
      <c r="M15" s="22" t="str">
        <f>Attendance!M15</f>
        <v>P</v>
      </c>
      <c r="N15" s="22" t="str">
        <f>Attendance!N15</f>
        <v>P</v>
      </c>
      <c r="O15" s="22" t="str">
        <f>Attendance!O15</f>
        <v>P</v>
      </c>
      <c r="P15" s="22" t="str">
        <f>Attendance!P15</f>
        <v>P</v>
      </c>
      <c r="Q15" s="22" t="str">
        <f>Attendance!Q15</f>
        <v>H</v>
      </c>
      <c r="R15" s="22" t="str">
        <f>Attendance!R15</f>
        <v>P</v>
      </c>
      <c r="S15" s="22" t="str">
        <f>Attendance!S15</f>
        <v>P</v>
      </c>
      <c r="T15" s="22" t="str">
        <f>Attendance!T15</f>
        <v>P</v>
      </c>
      <c r="U15" s="22" t="str">
        <f>Attendance!U15</f>
        <v>P</v>
      </c>
      <c r="V15" s="22" t="str">
        <f>Attendance!V15</f>
        <v>L</v>
      </c>
      <c r="W15" s="22" t="str">
        <f>Attendance!W15</f>
        <v>P</v>
      </c>
      <c r="X15" s="22" t="str">
        <f>Attendance!X15</f>
        <v>H</v>
      </c>
      <c r="Y15" s="22" t="str">
        <f>Attendance!Y15</f>
        <v>P</v>
      </c>
      <c r="Z15" s="22" t="str">
        <f>Attendance!Z15</f>
        <v>P</v>
      </c>
      <c r="AA15" s="22" t="str">
        <f>Attendance!AA15</f>
        <v>L</v>
      </c>
      <c r="AB15" s="22" t="str">
        <f>Attendance!AB15</f>
        <v>L</v>
      </c>
      <c r="AC15" s="22" t="str">
        <f>Attendance!AC15</f>
        <v>L</v>
      </c>
      <c r="AD15" s="22" t="str">
        <f>Attendance!AD15</f>
        <v>P</v>
      </c>
      <c r="AE15" s="13">
        <f>Attendance!AI15/Attendance!AH15</f>
        <v>589.29166666666663</v>
      </c>
      <c r="AF15" s="13">
        <f>(COUNTIF(C15:AD15,"P")+COUNTIF(C15:AD15,"H"))</f>
        <v>24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f>AE15*12</f>
        <v>7071.5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3">
        <v>0</v>
      </c>
      <c r="AZ15" s="23">
        <f>AE15*12</f>
        <v>7071.5</v>
      </c>
      <c r="BA15" s="23">
        <v>0</v>
      </c>
      <c r="BB15" s="23">
        <v>0</v>
      </c>
      <c r="BC15" s="23">
        <v>0</v>
      </c>
      <c r="BD15" s="23">
        <v>0</v>
      </c>
      <c r="BE15" s="23">
        <f>ROUND(SUM(AG15:BD15),0)</f>
        <v>14143</v>
      </c>
    </row>
    <row r="16" spans="1:57" ht="17.100000000000001" customHeight="1" x14ac:dyDescent="0.35">
      <c r="A16" s="20">
        <v>13</v>
      </c>
      <c r="B16" s="21" t="str">
        <f>Attendance!B16</f>
        <v>K Thirupathaiah</v>
      </c>
      <c r="C16" s="22" t="str">
        <f>Attendance!C16</f>
        <v>H</v>
      </c>
      <c r="D16" s="22" t="str">
        <f>Attendance!D16</f>
        <v>P</v>
      </c>
      <c r="E16" s="22" t="str">
        <f>Attendance!E16</f>
        <v>P</v>
      </c>
      <c r="F16" s="22" t="str">
        <f>Attendance!F16</f>
        <v>P</v>
      </c>
      <c r="G16" s="22" t="str">
        <f>Attendance!G16</f>
        <v>P</v>
      </c>
      <c r="H16" s="22" t="str">
        <f>Attendance!H16</f>
        <v>P</v>
      </c>
      <c r="I16" s="22" t="str">
        <f>Attendance!I16</f>
        <v>P</v>
      </c>
      <c r="J16" s="22" t="str">
        <f>Attendance!J16</f>
        <v>H</v>
      </c>
      <c r="K16" s="22" t="str">
        <f>Attendance!K16</f>
        <v>P</v>
      </c>
      <c r="L16" s="22" t="str">
        <f>Attendance!L16</f>
        <v>P</v>
      </c>
      <c r="M16" s="22" t="str">
        <f>Attendance!M16</f>
        <v>P</v>
      </c>
      <c r="N16" s="22" t="str">
        <f>Attendance!N16</f>
        <v>P</v>
      </c>
      <c r="O16" s="22" t="str">
        <f>Attendance!O16</f>
        <v>P</v>
      </c>
      <c r="P16" s="22" t="str">
        <f>Attendance!P16</f>
        <v>P</v>
      </c>
      <c r="Q16" s="22" t="str">
        <f>Attendance!Q16</f>
        <v>H</v>
      </c>
      <c r="R16" s="22" t="str">
        <f>Attendance!R16</f>
        <v>P</v>
      </c>
      <c r="S16" s="22" t="str">
        <f>Attendance!S16</f>
        <v>P</v>
      </c>
      <c r="T16" s="22" t="str">
        <f>Attendance!T16</f>
        <v>P</v>
      </c>
      <c r="U16" s="22" t="str">
        <f>Attendance!U16</f>
        <v>P</v>
      </c>
      <c r="V16" s="22" t="str">
        <f>Attendance!V16</f>
        <v>P</v>
      </c>
      <c r="W16" s="22" t="str">
        <f>Attendance!W16</f>
        <v>P</v>
      </c>
      <c r="X16" s="22" t="str">
        <f>Attendance!X16</f>
        <v>H</v>
      </c>
      <c r="Y16" s="22" t="str">
        <f>Attendance!Y16</f>
        <v>P</v>
      </c>
      <c r="Z16" s="22" t="str">
        <f>Attendance!Z16</f>
        <v>P</v>
      </c>
      <c r="AA16" s="22" t="str">
        <f>Attendance!AA16</f>
        <v>P</v>
      </c>
      <c r="AB16" s="22" t="str">
        <f>Attendance!AB16</f>
        <v>P</v>
      </c>
      <c r="AC16" s="22" t="str">
        <f>Attendance!AC16</f>
        <v>P</v>
      </c>
      <c r="AD16" s="22" t="str">
        <f>Attendance!AD16</f>
        <v>P</v>
      </c>
      <c r="AE16" s="13">
        <f>Attendance!AI16/Attendance!AH16</f>
        <v>589.28571428571433</v>
      </c>
      <c r="AF16" s="13">
        <f>(COUNTIF(C16:AD16,"P")+COUNTIF(C16:AD16,"H"))</f>
        <v>28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  <c r="AX16" s="23">
        <v>0</v>
      </c>
      <c r="AY16" s="23">
        <v>0</v>
      </c>
      <c r="AZ16" s="23">
        <v>0</v>
      </c>
      <c r="BA16" s="23">
        <v>0</v>
      </c>
      <c r="BB16" s="23">
        <v>0</v>
      </c>
      <c r="BC16" s="23">
        <f>AE16*AF16</f>
        <v>16500</v>
      </c>
      <c r="BD16" s="23">
        <v>0</v>
      </c>
      <c r="BE16" s="23">
        <f>ROUND(SUM(AG16:BD16),0)</f>
        <v>16500</v>
      </c>
    </row>
    <row r="17" spans="1:57" ht="17.100000000000001" customHeight="1" x14ac:dyDescent="0.35">
      <c r="A17" s="24">
        <v>14</v>
      </c>
      <c r="B17" s="21" t="str">
        <f>Attendance!B17</f>
        <v>Kanche Srisailam</v>
      </c>
      <c r="C17" s="22" t="str">
        <f>Attendance!C17</f>
        <v>H</v>
      </c>
      <c r="D17" s="22" t="str">
        <f>Attendance!D17</f>
        <v>P</v>
      </c>
      <c r="E17" s="22" t="str">
        <f>Attendance!E17</f>
        <v>P</v>
      </c>
      <c r="F17" s="22" t="str">
        <f>Attendance!F17</f>
        <v>P</v>
      </c>
      <c r="G17" s="22" t="str">
        <f>Attendance!G17</f>
        <v>P</v>
      </c>
      <c r="H17" s="22" t="str">
        <f>Attendance!H17</f>
        <v>P</v>
      </c>
      <c r="I17" s="22" t="str">
        <f>Attendance!I17</f>
        <v>P</v>
      </c>
      <c r="J17" s="22" t="str">
        <f>Attendance!J17</f>
        <v>H</v>
      </c>
      <c r="K17" s="22" t="str">
        <f>Attendance!K17</f>
        <v>P</v>
      </c>
      <c r="L17" s="22" t="str">
        <f>Attendance!L17</f>
        <v>P</v>
      </c>
      <c r="M17" s="22" t="str">
        <f>Attendance!M17</f>
        <v>P</v>
      </c>
      <c r="N17" s="22" t="str">
        <f>Attendance!N17</f>
        <v>P</v>
      </c>
      <c r="O17" s="22" t="str">
        <f>Attendance!O17</f>
        <v>P</v>
      </c>
      <c r="P17" s="22" t="str">
        <f>Attendance!P17</f>
        <v>P</v>
      </c>
      <c r="Q17" s="22" t="str">
        <f>Attendance!Q17</f>
        <v>H</v>
      </c>
      <c r="R17" s="22" t="str">
        <f>Attendance!R17</f>
        <v>P</v>
      </c>
      <c r="S17" s="22" t="str">
        <f>Attendance!S17</f>
        <v>P</v>
      </c>
      <c r="T17" s="22" t="str">
        <f>Attendance!T17</f>
        <v>P</v>
      </c>
      <c r="U17" s="22" t="str">
        <f>Attendance!U17</f>
        <v>P</v>
      </c>
      <c r="V17" s="22" t="str">
        <f>Attendance!V17</f>
        <v>P</v>
      </c>
      <c r="W17" s="22" t="str">
        <f>Attendance!W17</f>
        <v>P</v>
      </c>
      <c r="X17" s="22" t="str">
        <f>Attendance!X17</f>
        <v>H</v>
      </c>
      <c r="Y17" s="22" t="str">
        <f>Attendance!Y17</f>
        <v>P</v>
      </c>
      <c r="Z17" s="22" t="str">
        <f>Attendance!Z17</f>
        <v>P</v>
      </c>
      <c r="AA17" s="22" t="str">
        <f>Attendance!AA17</f>
        <v>P</v>
      </c>
      <c r="AB17" s="22" t="str">
        <f>Attendance!AB17</f>
        <v>P</v>
      </c>
      <c r="AC17" s="22" t="str">
        <f>Attendance!AC17</f>
        <v>P</v>
      </c>
      <c r="AD17" s="22" t="str">
        <f>Attendance!AD17</f>
        <v>P</v>
      </c>
      <c r="AE17" s="13">
        <f>Attendance!AI17/Attendance!AH17</f>
        <v>589.28571428571433</v>
      </c>
      <c r="AF17" s="13">
        <f>(COUNTIF(C17:AD17,"P")+COUNTIF(C17:AD17,"H"))</f>
        <v>28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  <c r="AX17" s="23">
        <v>0</v>
      </c>
      <c r="AY17" s="23">
        <v>0</v>
      </c>
      <c r="AZ17" s="23">
        <v>0</v>
      </c>
      <c r="BA17" s="23">
        <v>0</v>
      </c>
      <c r="BB17" s="23">
        <v>0</v>
      </c>
      <c r="BC17" s="23">
        <f>AE17*AF17</f>
        <v>16500</v>
      </c>
      <c r="BD17" s="23">
        <v>0</v>
      </c>
      <c r="BE17" s="23">
        <f>ROUND(SUM(AG17:BD17),0)</f>
        <v>16500</v>
      </c>
    </row>
    <row r="18" spans="1:57" ht="17.100000000000001" customHeight="1" x14ac:dyDescent="0.35">
      <c r="A18" s="20">
        <v>15</v>
      </c>
      <c r="B18" s="21" t="str">
        <f>Attendance!B18</f>
        <v>Kasireddy Harish</v>
      </c>
      <c r="C18" s="22" t="str">
        <f>Attendance!C18</f>
        <v>H</v>
      </c>
      <c r="D18" s="22" t="str">
        <f>Attendance!D18</f>
        <v>P</v>
      </c>
      <c r="E18" s="22" t="str">
        <f>Attendance!E18</f>
        <v>P</v>
      </c>
      <c r="F18" s="22" t="str">
        <f>Attendance!F18</f>
        <v>P</v>
      </c>
      <c r="G18" s="22" t="str">
        <f>Attendance!G18</f>
        <v>P</v>
      </c>
      <c r="H18" s="22" t="str">
        <f>Attendance!H18</f>
        <v>P</v>
      </c>
      <c r="I18" s="22" t="str">
        <f>Attendance!I18</f>
        <v>P</v>
      </c>
      <c r="J18" s="22" t="str">
        <f>Attendance!J18</f>
        <v>H</v>
      </c>
      <c r="K18" s="22" t="str">
        <f>Attendance!K18</f>
        <v>P</v>
      </c>
      <c r="L18" s="22" t="str">
        <f>Attendance!L18</f>
        <v>P</v>
      </c>
      <c r="M18" s="22" t="str">
        <f>Attendance!M18</f>
        <v>P</v>
      </c>
      <c r="N18" s="22" t="str">
        <f>Attendance!N18</f>
        <v>P</v>
      </c>
      <c r="O18" s="22" t="str">
        <f>Attendance!O18</f>
        <v>P</v>
      </c>
      <c r="P18" s="22" t="str">
        <f>Attendance!P18</f>
        <v>P</v>
      </c>
      <c r="Q18" s="22" t="str">
        <f>Attendance!Q18</f>
        <v>H</v>
      </c>
      <c r="R18" s="22" t="str">
        <f>Attendance!R18</f>
        <v>P</v>
      </c>
      <c r="S18" s="22" t="str">
        <f>Attendance!S18</f>
        <v>P</v>
      </c>
      <c r="T18" s="22" t="str">
        <f>Attendance!T18</f>
        <v>P</v>
      </c>
      <c r="U18" s="22" t="str">
        <f>Attendance!U18</f>
        <v>P</v>
      </c>
      <c r="V18" s="22" t="str">
        <f>Attendance!V18</f>
        <v>P</v>
      </c>
      <c r="W18" s="22" t="str">
        <f>Attendance!W18</f>
        <v>P</v>
      </c>
      <c r="X18" s="22" t="str">
        <f>Attendance!X18</f>
        <v>H</v>
      </c>
      <c r="Y18" s="22" t="str">
        <f>Attendance!Y18</f>
        <v>P</v>
      </c>
      <c r="Z18" s="22" t="str">
        <f>Attendance!Z18</f>
        <v>P</v>
      </c>
      <c r="AA18" s="22" t="str">
        <f>Attendance!AA18</f>
        <v>P</v>
      </c>
      <c r="AB18" s="22" t="str">
        <f>Attendance!AB18</f>
        <v>P</v>
      </c>
      <c r="AC18" s="22" t="str">
        <f>Attendance!AC18</f>
        <v>P</v>
      </c>
      <c r="AD18" s="22" t="str">
        <f>Attendance!AD18</f>
        <v>P</v>
      </c>
      <c r="AE18" s="13">
        <f>Attendance!AI18/Attendance!AH18</f>
        <v>589.28571428571433</v>
      </c>
      <c r="AF18" s="13">
        <f>(COUNTIF(C18:AD18,"P")+COUNTIF(C18:AD18,"H"))</f>
        <v>28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0</v>
      </c>
      <c r="AX18" s="23">
        <v>0</v>
      </c>
      <c r="AY18" s="23">
        <v>0</v>
      </c>
      <c r="AZ18" s="23">
        <v>0</v>
      </c>
      <c r="BA18" s="23">
        <v>0</v>
      </c>
      <c r="BB18" s="23">
        <v>0</v>
      </c>
      <c r="BC18" s="23">
        <f>AE18*AF18</f>
        <v>16500</v>
      </c>
      <c r="BD18" s="23">
        <v>0</v>
      </c>
      <c r="BE18" s="23">
        <f>ROUND(SUM(AG18:BD18),0)</f>
        <v>16500</v>
      </c>
    </row>
    <row r="19" spans="1:57" ht="17.100000000000001" customHeight="1" x14ac:dyDescent="0.35">
      <c r="A19" s="24">
        <v>16</v>
      </c>
      <c r="B19" s="21" t="str">
        <f>Attendance!B19</f>
        <v>Kasturi Sathish</v>
      </c>
      <c r="C19" s="22" t="str">
        <f>Attendance!C19</f>
        <v>H</v>
      </c>
      <c r="D19" s="22" t="str">
        <f>Attendance!D19</f>
        <v>P</v>
      </c>
      <c r="E19" s="22" t="str">
        <f>Attendance!E19</f>
        <v>P</v>
      </c>
      <c r="F19" s="22" t="str">
        <f>Attendance!F19</f>
        <v>P</v>
      </c>
      <c r="G19" s="22" t="str">
        <f>Attendance!G19</f>
        <v>P</v>
      </c>
      <c r="H19" s="22" t="str">
        <f>Attendance!H19</f>
        <v>P</v>
      </c>
      <c r="I19" s="22" t="str">
        <f>Attendance!I19</f>
        <v>P</v>
      </c>
      <c r="J19" s="22" t="str">
        <f>Attendance!J19</f>
        <v>H</v>
      </c>
      <c r="K19" s="22" t="str">
        <f>Attendance!K19</f>
        <v>P</v>
      </c>
      <c r="L19" s="22" t="str">
        <f>Attendance!L19</f>
        <v>P</v>
      </c>
      <c r="M19" s="22" t="str">
        <f>Attendance!M19</f>
        <v>P</v>
      </c>
      <c r="N19" s="22" t="str">
        <f>Attendance!N19</f>
        <v>P</v>
      </c>
      <c r="O19" s="22" t="str">
        <f>Attendance!O19</f>
        <v>P</v>
      </c>
      <c r="P19" s="22" t="str">
        <f>Attendance!P19</f>
        <v>P</v>
      </c>
      <c r="Q19" s="22" t="str">
        <f>Attendance!Q19</f>
        <v>H</v>
      </c>
      <c r="R19" s="22" t="str">
        <f>Attendance!R19</f>
        <v>P</v>
      </c>
      <c r="S19" s="22" t="str">
        <f>Attendance!S19</f>
        <v>P</v>
      </c>
      <c r="T19" s="22" t="str">
        <f>Attendance!T19</f>
        <v>P</v>
      </c>
      <c r="U19" s="22" t="str">
        <f>Attendance!U19</f>
        <v>P</v>
      </c>
      <c r="V19" s="22" t="str">
        <f>Attendance!V19</f>
        <v>P</v>
      </c>
      <c r="W19" s="22" t="str">
        <f>Attendance!W19</f>
        <v>P</v>
      </c>
      <c r="X19" s="22" t="str">
        <f>Attendance!X19</f>
        <v>H</v>
      </c>
      <c r="Y19" s="22" t="str">
        <f>Attendance!Y19</f>
        <v>P</v>
      </c>
      <c r="Z19" s="22" t="str">
        <f>Attendance!Z19</f>
        <v>P</v>
      </c>
      <c r="AA19" s="22" t="str">
        <f>Attendance!AA19</f>
        <v>P</v>
      </c>
      <c r="AB19" s="22" t="str">
        <f>Attendance!AB19</f>
        <v>P</v>
      </c>
      <c r="AC19" s="22" t="str">
        <f>Attendance!AC19</f>
        <v>P</v>
      </c>
      <c r="AD19" s="22" t="str">
        <f>Attendance!AD19</f>
        <v>P</v>
      </c>
      <c r="AE19" s="13">
        <f>Attendance!AI19/Attendance!AH19</f>
        <v>589.28571428571433</v>
      </c>
      <c r="AF19" s="13">
        <f>(COUNTIF(C19:AD19,"P")+COUNTIF(C19:AD19,"H"))</f>
        <v>28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  <c r="AX19" s="23">
        <v>0</v>
      </c>
      <c r="AY19" s="23">
        <v>0</v>
      </c>
      <c r="AZ19" s="23">
        <v>0</v>
      </c>
      <c r="BA19" s="23">
        <v>0</v>
      </c>
      <c r="BB19" s="23">
        <v>0</v>
      </c>
      <c r="BC19" s="23">
        <f>AE19*AF19</f>
        <v>16500</v>
      </c>
      <c r="BD19" s="23">
        <v>0</v>
      </c>
      <c r="BE19" s="23">
        <f>ROUND(SUM(AG19:BD19),0)</f>
        <v>16500</v>
      </c>
    </row>
    <row r="20" spans="1:57" ht="17.100000000000001" customHeight="1" x14ac:dyDescent="0.35">
      <c r="A20" s="20">
        <v>17</v>
      </c>
      <c r="B20" s="21" t="str">
        <f>Attendance!B20</f>
        <v>Katravath Mangesh</v>
      </c>
      <c r="C20" s="22" t="str">
        <f>Attendance!C20</f>
        <v>H</v>
      </c>
      <c r="D20" s="22" t="str">
        <f>Attendance!D20</f>
        <v>P</v>
      </c>
      <c r="E20" s="22" t="str">
        <f>Attendance!E20</f>
        <v>P</v>
      </c>
      <c r="F20" s="22" t="str">
        <f>Attendance!F20</f>
        <v>P</v>
      </c>
      <c r="G20" s="22" t="str">
        <f>Attendance!G20</f>
        <v>P</v>
      </c>
      <c r="H20" s="22" t="str">
        <f>Attendance!H20</f>
        <v>P</v>
      </c>
      <c r="I20" s="22" t="str">
        <f>Attendance!I20</f>
        <v>P</v>
      </c>
      <c r="J20" s="22" t="str">
        <f>Attendance!J20</f>
        <v>H</v>
      </c>
      <c r="K20" s="22" t="str">
        <f>Attendance!K20</f>
        <v>P</v>
      </c>
      <c r="L20" s="22" t="str">
        <f>Attendance!L20</f>
        <v>P</v>
      </c>
      <c r="M20" s="22" t="str">
        <f>Attendance!M20</f>
        <v>P</v>
      </c>
      <c r="N20" s="22" t="str">
        <f>Attendance!N20</f>
        <v>P</v>
      </c>
      <c r="O20" s="22" t="str">
        <f>Attendance!O20</f>
        <v>P</v>
      </c>
      <c r="P20" s="22" t="str">
        <f>Attendance!P20</f>
        <v>P</v>
      </c>
      <c r="Q20" s="22" t="str">
        <f>Attendance!Q20</f>
        <v>H</v>
      </c>
      <c r="R20" s="22" t="str">
        <f>Attendance!R20</f>
        <v>P</v>
      </c>
      <c r="S20" s="22" t="str">
        <f>Attendance!S20</f>
        <v>P</v>
      </c>
      <c r="T20" s="22" t="str">
        <f>Attendance!T20</f>
        <v>P</v>
      </c>
      <c r="U20" s="22" t="str">
        <f>Attendance!U20</f>
        <v>P</v>
      </c>
      <c r="V20" s="22" t="str">
        <f>Attendance!V20</f>
        <v>P</v>
      </c>
      <c r="W20" s="22" t="str">
        <f>Attendance!W20</f>
        <v>P</v>
      </c>
      <c r="X20" s="22" t="str">
        <f>Attendance!X20</f>
        <v>H</v>
      </c>
      <c r="Y20" s="22" t="str">
        <f>Attendance!Y20</f>
        <v>P</v>
      </c>
      <c r="Z20" s="22" t="str">
        <f>Attendance!Z20</f>
        <v>P</v>
      </c>
      <c r="AA20" s="22" t="str">
        <f>Attendance!AA20</f>
        <v>P</v>
      </c>
      <c r="AB20" s="22" t="str">
        <f>Attendance!AB20</f>
        <v>P</v>
      </c>
      <c r="AC20" s="22" t="str">
        <f>Attendance!AC20</f>
        <v>P</v>
      </c>
      <c r="AD20" s="22" t="str">
        <f>Attendance!AD20</f>
        <v>P</v>
      </c>
      <c r="AE20" s="13">
        <f>Attendance!AI20/Attendance!AH20</f>
        <v>589.28571428571433</v>
      </c>
      <c r="AF20" s="13">
        <f>(COUNTIF(C20:AD20,"P")+COUNTIF(C20:AD20,"H"))</f>
        <v>28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  <c r="AX20" s="23">
        <v>0</v>
      </c>
      <c r="AY20" s="23">
        <v>0</v>
      </c>
      <c r="AZ20" s="23">
        <v>0</v>
      </c>
      <c r="BA20" s="23">
        <v>0</v>
      </c>
      <c r="BB20" s="23">
        <v>0</v>
      </c>
      <c r="BC20" s="23">
        <v>0</v>
      </c>
      <c r="BD20" s="23">
        <f>AE20*AF20</f>
        <v>16500</v>
      </c>
      <c r="BE20" s="23">
        <f>ROUND(SUM(AG20:BD20),0)</f>
        <v>16500</v>
      </c>
    </row>
    <row r="21" spans="1:57" ht="17.100000000000001" customHeight="1" x14ac:dyDescent="0.35">
      <c r="A21" s="24">
        <v>18</v>
      </c>
      <c r="B21" s="21" t="str">
        <f>Attendance!B21</f>
        <v>Katravath Mohan Rathod</v>
      </c>
      <c r="C21" s="22" t="str">
        <f>Attendance!C21</f>
        <v>H</v>
      </c>
      <c r="D21" s="22" t="str">
        <f>Attendance!D21</f>
        <v>P</v>
      </c>
      <c r="E21" s="22" t="str">
        <f>Attendance!E21</f>
        <v>P</v>
      </c>
      <c r="F21" s="22" t="str">
        <f>Attendance!F21</f>
        <v>P</v>
      </c>
      <c r="G21" s="22" t="str">
        <f>Attendance!G21</f>
        <v>P</v>
      </c>
      <c r="H21" s="22" t="str">
        <f>Attendance!H21</f>
        <v>P</v>
      </c>
      <c r="I21" s="22" t="str">
        <f>Attendance!I21</f>
        <v>P</v>
      </c>
      <c r="J21" s="22" t="str">
        <f>Attendance!J21</f>
        <v>H</v>
      </c>
      <c r="K21" s="22" t="str">
        <f>Attendance!K21</f>
        <v>P</v>
      </c>
      <c r="L21" s="22" t="str">
        <f>Attendance!L21</f>
        <v>P</v>
      </c>
      <c r="M21" s="22" t="str">
        <f>Attendance!M21</f>
        <v>P</v>
      </c>
      <c r="N21" s="22" t="str">
        <f>Attendance!N21</f>
        <v>P</v>
      </c>
      <c r="O21" s="22" t="str">
        <f>Attendance!O21</f>
        <v>P</v>
      </c>
      <c r="P21" s="22" t="str">
        <f>Attendance!P21</f>
        <v>L</v>
      </c>
      <c r="Q21" s="22" t="str">
        <f>Attendance!Q21</f>
        <v>H</v>
      </c>
      <c r="R21" s="22" t="str">
        <f>Attendance!R21</f>
        <v>P</v>
      </c>
      <c r="S21" s="22" t="str">
        <f>Attendance!S21</f>
        <v>P</v>
      </c>
      <c r="T21" s="22" t="str">
        <f>Attendance!T21</f>
        <v>P</v>
      </c>
      <c r="U21" s="22" t="str">
        <f>Attendance!U21</f>
        <v>P</v>
      </c>
      <c r="V21" s="22" t="str">
        <f>Attendance!V21</f>
        <v>P</v>
      </c>
      <c r="W21" s="22" t="str">
        <f>Attendance!W21</f>
        <v>P</v>
      </c>
      <c r="X21" s="22" t="str">
        <f>Attendance!X21</f>
        <v>H</v>
      </c>
      <c r="Y21" s="22" t="str">
        <f>Attendance!Y21</f>
        <v>P</v>
      </c>
      <c r="Z21" s="22" t="str">
        <f>Attendance!Z21</f>
        <v>P</v>
      </c>
      <c r="AA21" s="22" t="str">
        <f>Attendance!AA21</f>
        <v>P</v>
      </c>
      <c r="AB21" s="22" t="str">
        <f>Attendance!AB21</f>
        <v>P</v>
      </c>
      <c r="AC21" s="22" t="str">
        <f>Attendance!AC21</f>
        <v>P</v>
      </c>
      <c r="AD21" s="22" t="str">
        <f>Attendance!AD21</f>
        <v>P</v>
      </c>
      <c r="AE21" s="13">
        <f>Attendance!AI21/Attendance!AH21</f>
        <v>589.2962962962963</v>
      </c>
      <c r="AF21" s="13">
        <f>(COUNTIF(C21:AD21,"P")+COUNTIF(C21:AD21,"H"))</f>
        <v>27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f>AE21*AF21</f>
        <v>15911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0</v>
      </c>
      <c r="AX21" s="23">
        <v>0</v>
      </c>
      <c r="AY21" s="23">
        <v>0</v>
      </c>
      <c r="AZ21" s="23">
        <v>0</v>
      </c>
      <c r="BA21" s="23">
        <v>0</v>
      </c>
      <c r="BB21" s="23">
        <v>0</v>
      </c>
      <c r="BC21" s="23">
        <v>0</v>
      </c>
      <c r="BD21" s="23">
        <v>0</v>
      </c>
      <c r="BE21" s="23">
        <f>ROUND(SUM(AG21:BD21),0)</f>
        <v>15911</v>
      </c>
    </row>
    <row r="22" spans="1:57" ht="17.100000000000001" customHeight="1" x14ac:dyDescent="0.35">
      <c r="A22" s="20">
        <v>19</v>
      </c>
      <c r="B22" s="21" t="str">
        <f>Attendance!B22</f>
        <v>Katravath Radhika</v>
      </c>
      <c r="C22" s="22" t="str">
        <f>Attendance!C22</f>
        <v>H</v>
      </c>
      <c r="D22" s="22" t="str">
        <f>Attendance!D22</f>
        <v>P</v>
      </c>
      <c r="E22" s="22" t="str">
        <f>Attendance!E22</f>
        <v>P</v>
      </c>
      <c r="F22" s="22" t="str">
        <f>Attendance!F22</f>
        <v>P</v>
      </c>
      <c r="G22" s="22" t="str">
        <f>Attendance!G22</f>
        <v>P</v>
      </c>
      <c r="H22" s="22" t="str">
        <f>Attendance!H22</f>
        <v>P</v>
      </c>
      <c r="I22" s="22" t="str">
        <f>Attendance!I22</f>
        <v>P</v>
      </c>
      <c r="J22" s="22" t="str">
        <f>Attendance!J22</f>
        <v>H</v>
      </c>
      <c r="K22" s="22" t="str">
        <f>Attendance!K22</f>
        <v>P</v>
      </c>
      <c r="L22" s="22" t="str">
        <f>Attendance!L22</f>
        <v>P</v>
      </c>
      <c r="M22" s="22" t="str">
        <f>Attendance!M22</f>
        <v>P</v>
      </c>
      <c r="N22" s="22" t="str">
        <f>Attendance!N22</f>
        <v>P</v>
      </c>
      <c r="O22" s="22" t="str">
        <f>Attendance!O22</f>
        <v>P</v>
      </c>
      <c r="P22" s="22" t="str">
        <f>Attendance!P22</f>
        <v>P</v>
      </c>
      <c r="Q22" s="22" t="str">
        <f>Attendance!Q22</f>
        <v>H</v>
      </c>
      <c r="R22" s="22" t="str">
        <f>Attendance!R22</f>
        <v>P</v>
      </c>
      <c r="S22" s="22" t="str">
        <f>Attendance!S22</f>
        <v>L</v>
      </c>
      <c r="T22" s="22" t="str">
        <f>Attendance!T22</f>
        <v>L</v>
      </c>
      <c r="U22" s="22" t="str">
        <f>Attendance!U22</f>
        <v>L</v>
      </c>
      <c r="V22" s="22" t="str">
        <f>Attendance!V22</f>
        <v>L</v>
      </c>
      <c r="W22" s="22" t="str">
        <f>Attendance!W22</f>
        <v>L</v>
      </c>
      <c r="X22" s="22" t="str">
        <f>Attendance!X22</f>
        <v>H</v>
      </c>
      <c r="Y22" s="22" t="str">
        <f>Attendance!Y22</f>
        <v>P</v>
      </c>
      <c r="Z22" s="22" t="str">
        <f>Attendance!Z22</f>
        <v>P</v>
      </c>
      <c r="AA22" s="22" t="str">
        <f>Attendance!AA22</f>
        <v>P</v>
      </c>
      <c r="AB22" s="22" t="str">
        <f>Attendance!AB22</f>
        <v>P</v>
      </c>
      <c r="AC22" s="22" t="str">
        <f>Attendance!AC22</f>
        <v>P</v>
      </c>
      <c r="AD22" s="22" t="str">
        <f>Attendance!AD22</f>
        <v>P</v>
      </c>
      <c r="AE22" s="13">
        <f>Attendance!AI22/Attendance!AH22</f>
        <v>589.304347826087</v>
      </c>
      <c r="AF22" s="13">
        <f>(COUNTIF(C22:AD22,"P")+COUNTIF(C22:AD22,"H"))</f>
        <v>23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f>AE22*3</f>
        <v>1767.913043478261</v>
      </c>
      <c r="AM22" s="23">
        <v>0</v>
      </c>
      <c r="AN22" s="23">
        <v>0</v>
      </c>
      <c r="AO22" s="23">
        <f>AE22*20</f>
        <v>11786.08695652174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0</v>
      </c>
      <c r="AX22" s="23">
        <v>0</v>
      </c>
      <c r="AY22" s="23">
        <v>0</v>
      </c>
      <c r="AZ22" s="23">
        <v>0</v>
      </c>
      <c r="BA22" s="23">
        <v>0</v>
      </c>
      <c r="BB22" s="23">
        <v>0</v>
      </c>
      <c r="BC22" s="23">
        <v>0</v>
      </c>
      <c r="BD22" s="23">
        <v>0</v>
      </c>
      <c r="BE22" s="23">
        <f>ROUND(SUM(AG22:BD22),0)</f>
        <v>13554</v>
      </c>
    </row>
    <row r="23" spans="1:57" ht="17.100000000000001" customHeight="1" x14ac:dyDescent="0.35">
      <c r="A23" s="24">
        <v>20</v>
      </c>
      <c r="B23" s="21" t="str">
        <f>Attendance!B23</f>
        <v>Kodavath Swamy</v>
      </c>
      <c r="C23" s="22" t="str">
        <f>Attendance!C23</f>
        <v>H</v>
      </c>
      <c r="D23" s="22" t="str">
        <f>Attendance!D23</f>
        <v>P</v>
      </c>
      <c r="E23" s="22" t="str">
        <f>Attendance!E23</f>
        <v>P</v>
      </c>
      <c r="F23" s="22" t="str">
        <f>Attendance!F23</f>
        <v>P</v>
      </c>
      <c r="G23" s="22" t="str">
        <f>Attendance!G23</f>
        <v>P</v>
      </c>
      <c r="H23" s="22" t="str">
        <f>Attendance!H23</f>
        <v>P</v>
      </c>
      <c r="I23" s="22" t="str">
        <f>Attendance!I23</f>
        <v>P</v>
      </c>
      <c r="J23" s="22" t="str">
        <f>Attendance!J23</f>
        <v>H</v>
      </c>
      <c r="K23" s="22" t="str">
        <f>Attendance!K23</f>
        <v>P</v>
      </c>
      <c r="L23" s="22" t="str">
        <f>Attendance!L23</f>
        <v>P</v>
      </c>
      <c r="M23" s="22" t="str">
        <f>Attendance!M23</f>
        <v>P</v>
      </c>
      <c r="N23" s="22" t="str">
        <f>Attendance!N23</f>
        <v>P</v>
      </c>
      <c r="O23" s="22" t="str">
        <f>Attendance!O23</f>
        <v>P</v>
      </c>
      <c r="P23" s="22" t="str">
        <f>Attendance!P23</f>
        <v>P</v>
      </c>
      <c r="Q23" s="22" t="str">
        <f>Attendance!Q23</f>
        <v>H</v>
      </c>
      <c r="R23" s="22" t="str">
        <f>Attendance!R23</f>
        <v>P</v>
      </c>
      <c r="S23" s="22" t="str">
        <f>Attendance!S23</f>
        <v>P</v>
      </c>
      <c r="T23" s="22" t="str">
        <f>Attendance!T23</f>
        <v>P</v>
      </c>
      <c r="U23" s="22" t="str">
        <f>Attendance!U23</f>
        <v>P</v>
      </c>
      <c r="V23" s="22" t="str">
        <f>Attendance!V23</f>
        <v>P</v>
      </c>
      <c r="W23" s="22" t="str">
        <f>Attendance!W23</f>
        <v>P</v>
      </c>
      <c r="X23" s="22" t="str">
        <f>Attendance!X23</f>
        <v>H</v>
      </c>
      <c r="Y23" s="22" t="str">
        <f>Attendance!Y23</f>
        <v>P</v>
      </c>
      <c r="Z23" s="22" t="str">
        <f>Attendance!Z23</f>
        <v>P</v>
      </c>
      <c r="AA23" s="22" t="str">
        <f>Attendance!AA23</f>
        <v>P</v>
      </c>
      <c r="AB23" s="22" t="str">
        <f>Attendance!AB23</f>
        <v>P</v>
      </c>
      <c r="AC23" s="22" t="str">
        <f>Attendance!AC23</f>
        <v>P</v>
      </c>
      <c r="AD23" s="22" t="str">
        <f>Attendance!AD23</f>
        <v>P</v>
      </c>
      <c r="AE23" s="13">
        <f>Attendance!AI23/Attendance!AH23</f>
        <v>589.28571428571433</v>
      </c>
      <c r="AF23" s="13">
        <f>(COUNTIF(C23:AD23,"P")+COUNTIF(C23:AD23,"H"))</f>
        <v>28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  <c r="AX23" s="23">
        <v>0</v>
      </c>
      <c r="AY23" s="23">
        <v>0</v>
      </c>
      <c r="AZ23" s="23">
        <v>0</v>
      </c>
      <c r="BA23" s="23">
        <v>0</v>
      </c>
      <c r="BB23" s="23">
        <v>0</v>
      </c>
      <c r="BC23" s="23">
        <v>0</v>
      </c>
      <c r="BD23" s="23">
        <f>AE23*AF23</f>
        <v>16500</v>
      </c>
      <c r="BE23" s="23">
        <f>ROUND(SUM(AG23:BD23),0)</f>
        <v>16500</v>
      </c>
    </row>
    <row r="24" spans="1:57" ht="17.100000000000001" customHeight="1" x14ac:dyDescent="0.35">
      <c r="A24" s="20">
        <v>21</v>
      </c>
      <c r="B24" s="21" t="str">
        <f>Attendance!B24</f>
        <v>Kolla Sudhakar</v>
      </c>
      <c r="C24" s="22" t="str">
        <f>Attendance!C24</f>
        <v>H</v>
      </c>
      <c r="D24" s="22" t="str">
        <f>Attendance!D24</f>
        <v>P</v>
      </c>
      <c r="E24" s="22" t="str">
        <f>Attendance!E24</f>
        <v>P</v>
      </c>
      <c r="F24" s="22" t="str">
        <f>Attendance!F24</f>
        <v>P</v>
      </c>
      <c r="G24" s="22" t="str">
        <f>Attendance!G24</f>
        <v>P</v>
      </c>
      <c r="H24" s="22" t="str">
        <f>Attendance!H24</f>
        <v>P</v>
      </c>
      <c r="I24" s="22" t="str">
        <f>Attendance!I24</f>
        <v>P</v>
      </c>
      <c r="J24" s="22" t="str">
        <f>Attendance!J24</f>
        <v>L</v>
      </c>
      <c r="K24" s="22" t="str">
        <f>Attendance!K24</f>
        <v>L</v>
      </c>
      <c r="L24" s="22" t="str">
        <f>Attendance!L24</f>
        <v>L</v>
      </c>
      <c r="M24" s="22" t="str">
        <f>Attendance!M24</f>
        <v>L</v>
      </c>
      <c r="N24" s="22" t="str">
        <f>Attendance!N24</f>
        <v>L</v>
      </c>
      <c r="O24" s="22" t="str">
        <f>Attendance!O24</f>
        <v>L</v>
      </c>
      <c r="P24" s="22" t="str">
        <f>Attendance!P24</f>
        <v>L</v>
      </c>
      <c r="Q24" s="22" t="str">
        <f>Attendance!Q24</f>
        <v>L</v>
      </c>
      <c r="R24" s="22" t="str">
        <f>Attendance!R24</f>
        <v>L</v>
      </c>
      <c r="S24" s="22" t="str">
        <f>Attendance!S24</f>
        <v>L</v>
      </c>
      <c r="T24" s="22" t="str">
        <f>Attendance!T24</f>
        <v>L</v>
      </c>
      <c r="U24" s="22" t="str">
        <f>Attendance!U24</f>
        <v>L</v>
      </c>
      <c r="V24" s="22" t="str">
        <f>Attendance!V24</f>
        <v>L</v>
      </c>
      <c r="W24" s="22" t="str">
        <f>Attendance!W24</f>
        <v>L</v>
      </c>
      <c r="X24" s="22" t="str">
        <f>Attendance!X24</f>
        <v>L</v>
      </c>
      <c r="Y24" s="22" t="str">
        <f>Attendance!Y24</f>
        <v>L</v>
      </c>
      <c r="Z24" s="22" t="str">
        <f>Attendance!Z24</f>
        <v>L</v>
      </c>
      <c r="AA24" s="22" t="str">
        <f>Attendance!AA24</f>
        <v>L</v>
      </c>
      <c r="AB24" s="22" t="str">
        <f>Attendance!AB24</f>
        <v>L</v>
      </c>
      <c r="AC24" s="22" t="str">
        <f>Attendance!AC24</f>
        <v>L</v>
      </c>
      <c r="AD24" s="22" t="str">
        <f>Attendance!AD24</f>
        <v>L</v>
      </c>
      <c r="AE24" s="13">
        <f>Attendance!AI24/Attendance!AH24</f>
        <v>589.28571428571433</v>
      </c>
      <c r="AF24" s="13">
        <f>(COUNTIF(C24:AD24,"P")+COUNTIF(C24:AD24,"H"))</f>
        <v>7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  <c r="AX24" s="23">
        <v>0</v>
      </c>
      <c r="AY24" s="23">
        <v>0</v>
      </c>
      <c r="AZ24" s="23">
        <v>0</v>
      </c>
      <c r="BA24" s="23">
        <v>0</v>
      </c>
      <c r="BB24" s="23">
        <v>0</v>
      </c>
      <c r="BC24" s="23">
        <f>AE24*AF24</f>
        <v>4125</v>
      </c>
      <c r="BD24" s="23">
        <v>0</v>
      </c>
      <c r="BE24" s="23">
        <f>ROUND(SUM(AG24:BD24),0)</f>
        <v>4125</v>
      </c>
    </row>
    <row r="25" spans="1:57" ht="17.100000000000001" customHeight="1" x14ac:dyDescent="0.35">
      <c r="A25" s="24">
        <v>22</v>
      </c>
      <c r="B25" s="21" t="str">
        <f>Attendance!B25</f>
        <v>Kunduru Upender Reddy</v>
      </c>
      <c r="C25" s="22" t="str">
        <f>Attendance!C25</f>
        <v>H</v>
      </c>
      <c r="D25" s="22" t="str">
        <f>Attendance!D25</f>
        <v>L</v>
      </c>
      <c r="E25" s="22" t="str">
        <f>Attendance!E25</f>
        <v>L</v>
      </c>
      <c r="F25" s="22" t="str">
        <f>Attendance!F25</f>
        <v>L</v>
      </c>
      <c r="G25" s="22" t="str">
        <f>Attendance!G25</f>
        <v>L</v>
      </c>
      <c r="H25" s="22" t="str">
        <f>Attendance!H25</f>
        <v>L</v>
      </c>
      <c r="I25" s="22" t="str">
        <f>Attendance!I25</f>
        <v>L</v>
      </c>
      <c r="J25" s="22" t="str">
        <f>Attendance!J25</f>
        <v>H</v>
      </c>
      <c r="K25" s="22" t="str">
        <f>Attendance!K25</f>
        <v>P</v>
      </c>
      <c r="L25" s="22" t="str">
        <f>Attendance!L25</f>
        <v>P</v>
      </c>
      <c r="M25" s="22" t="str">
        <f>Attendance!M25</f>
        <v>P</v>
      </c>
      <c r="N25" s="22" t="str">
        <f>Attendance!N25</f>
        <v>P</v>
      </c>
      <c r="O25" s="22" t="str">
        <f>Attendance!O25</f>
        <v>P</v>
      </c>
      <c r="P25" s="22" t="str">
        <f>Attendance!P25</f>
        <v>P</v>
      </c>
      <c r="Q25" s="22" t="str">
        <f>Attendance!Q25</f>
        <v>H</v>
      </c>
      <c r="R25" s="22" t="str">
        <f>Attendance!R25</f>
        <v>P</v>
      </c>
      <c r="S25" s="22" t="str">
        <f>Attendance!S25</f>
        <v>P</v>
      </c>
      <c r="T25" s="22" t="str">
        <f>Attendance!T25</f>
        <v>P</v>
      </c>
      <c r="U25" s="22" t="str">
        <f>Attendance!U25</f>
        <v>P</v>
      </c>
      <c r="V25" s="22" t="str">
        <f>Attendance!V25</f>
        <v>P</v>
      </c>
      <c r="W25" s="22" t="str">
        <f>Attendance!W25</f>
        <v>P</v>
      </c>
      <c r="X25" s="22" t="str">
        <f>Attendance!X25</f>
        <v>H</v>
      </c>
      <c r="Y25" s="22" t="str">
        <f>Attendance!Y25</f>
        <v>P</v>
      </c>
      <c r="Z25" s="22" t="str">
        <f>Attendance!Z25</f>
        <v>P</v>
      </c>
      <c r="AA25" s="22" t="str">
        <f>Attendance!AA25</f>
        <v>P</v>
      </c>
      <c r="AB25" s="22" t="str">
        <f>Attendance!AB25</f>
        <v>P</v>
      </c>
      <c r="AC25" s="22" t="str">
        <f>Attendance!AC25</f>
        <v>L</v>
      </c>
      <c r="AD25" s="22" t="str">
        <f>Attendance!AD25</f>
        <v>P</v>
      </c>
      <c r="AE25" s="13">
        <f>Attendance!AI25/Attendance!AH25</f>
        <v>589.28571428571433</v>
      </c>
      <c r="AF25" s="13">
        <f>(COUNTIF(C25:AD25,"P")+COUNTIF(C25:AD25,"H"))</f>
        <v>21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0</v>
      </c>
      <c r="AX25" s="23">
        <v>0</v>
      </c>
      <c r="AY25" s="23">
        <v>0</v>
      </c>
      <c r="AZ25" s="23">
        <v>0</v>
      </c>
      <c r="BA25" s="23">
        <v>0</v>
      </c>
      <c r="BB25" s="23">
        <v>0</v>
      </c>
      <c r="BC25" s="23">
        <v>0</v>
      </c>
      <c r="BD25" s="23">
        <f>AE25*AF25</f>
        <v>12375.000000000002</v>
      </c>
      <c r="BE25" s="23">
        <f>ROUND(SUM(AG25:BD25),0)</f>
        <v>12375</v>
      </c>
    </row>
    <row r="26" spans="1:57" ht="17.100000000000001" customHeight="1" x14ac:dyDescent="0.35">
      <c r="A26" s="20">
        <v>23</v>
      </c>
      <c r="B26" s="21" t="str">
        <f>Attendance!B26</f>
        <v>M jathin sai</v>
      </c>
      <c r="C26" s="22" t="str">
        <f>Attendance!C26</f>
        <v>H</v>
      </c>
      <c r="D26" s="22" t="str">
        <f>Attendance!D26</f>
        <v>P</v>
      </c>
      <c r="E26" s="22" t="str">
        <f>Attendance!E26</f>
        <v>P</v>
      </c>
      <c r="F26" s="22" t="str">
        <f>Attendance!F26</f>
        <v>P</v>
      </c>
      <c r="G26" s="22" t="str">
        <f>Attendance!G26</f>
        <v>P</v>
      </c>
      <c r="H26" s="22" t="str">
        <f>Attendance!H26</f>
        <v>P</v>
      </c>
      <c r="I26" s="22" t="str">
        <f>Attendance!I26</f>
        <v>P</v>
      </c>
      <c r="J26" s="22" t="str">
        <f>Attendance!J26</f>
        <v>H</v>
      </c>
      <c r="K26" s="22" t="str">
        <f>Attendance!K26</f>
        <v>P</v>
      </c>
      <c r="L26" s="22" t="str">
        <f>Attendance!L26</f>
        <v>P</v>
      </c>
      <c r="M26" s="22" t="str">
        <f>Attendance!M26</f>
        <v>P</v>
      </c>
      <c r="N26" s="22" t="str">
        <f>Attendance!N26</f>
        <v>P</v>
      </c>
      <c r="O26" s="22" t="str">
        <f>Attendance!O26</f>
        <v>P</v>
      </c>
      <c r="P26" s="22" t="str">
        <f>Attendance!P26</f>
        <v>P</v>
      </c>
      <c r="Q26" s="22" t="str">
        <f>Attendance!Q26</f>
        <v>H</v>
      </c>
      <c r="R26" s="22" t="str">
        <f>Attendance!R26</f>
        <v>P</v>
      </c>
      <c r="S26" s="22" t="str">
        <f>Attendance!S26</f>
        <v>P</v>
      </c>
      <c r="T26" s="22" t="str">
        <f>Attendance!T26</f>
        <v>P</v>
      </c>
      <c r="U26" s="22" t="str">
        <f>Attendance!U26</f>
        <v>P</v>
      </c>
      <c r="V26" s="22" t="str">
        <f>Attendance!V26</f>
        <v>P</v>
      </c>
      <c r="W26" s="22" t="str">
        <f>Attendance!W26</f>
        <v>P</v>
      </c>
      <c r="X26" s="22" t="str">
        <f>Attendance!X26</f>
        <v>H</v>
      </c>
      <c r="Y26" s="22" t="str">
        <f>Attendance!Y26</f>
        <v>P</v>
      </c>
      <c r="Z26" s="22" t="str">
        <f>Attendance!Z26</f>
        <v>P</v>
      </c>
      <c r="AA26" s="22" t="str">
        <f>Attendance!AA26</f>
        <v>P</v>
      </c>
      <c r="AB26" s="22" t="str">
        <f>Attendance!AB26</f>
        <v>P</v>
      </c>
      <c r="AC26" s="22" t="str">
        <f>Attendance!AC26</f>
        <v>P</v>
      </c>
      <c r="AD26" s="22" t="str">
        <f>Attendance!AD26</f>
        <v>P</v>
      </c>
      <c r="AE26" s="13">
        <f>Attendance!AI26/Attendance!AH26</f>
        <v>589.28571428571433</v>
      </c>
      <c r="AF26" s="13">
        <f>(COUNTIF(C26:AD26,"P")+COUNTIF(C26:AD26,"H"))</f>
        <v>28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0</v>
      </c>
      <c r="AX26" s="23">
        <v>0</v>
      </c>
      <c r="AY26" s="23">
        <v>0</v>
      </c>
      <c r="AZ26" s="23">
        <v>0</v>
      </c>
      <c r="BA26" s="23">
        <v>0</v>
      </c>
      <c r="BB26" s="23">
        <v>0</v>
      </c>
      <c r="BC26" s="23">
        <v>0</v>
      </c>
      <c r="BD26" s="23">
        <f>AE26*AF26</f>
        <v>16500</v>
      </c>
      <c r="BE26" s="23">
        <f>ROUND(SUM(AG26:BD26),0)</f>
        <v>16500</v>
      </c>
    </row>
    <row r="27" spans="1:57" ht="17.100000000000001" customHeight="1" x14ac:dyDescent="0.35">
      <c r="A27" s="24">
        <v>24</v>
      </c>
      <c r="B27" s="21" t="str">
        <f>Attendance!B27</f>
        <v>M Sunitha</v>
      </c>
      <c r="C27" s="22" t="str">
        <f>Attendance!C27</f>
        <v>H</v>
      </c>
      <c r="D27" s="22" t="str">
        <f>Attendance!D27</f>
        <v>P</v>
      </c>
      <c r="E27" s="22" t="str">
        <f>Attendance!E27</f>
        <v>P</v>
      </c>
      <c r="F27" s="22" t="str">
        <f>Attendance!F27</f>
        <v>P</v>
      </c>
      <c r="G27" s="22" t="str">
        <f>Attendance!G27</f>
        <v>P</v>
      </c>
      <c r="H27" s="22" t="str">
        <f>Attendance!H27</f>
        <v>P</v>
      </c>
      <c r="I27" s="22" t="str">
        <f>Attendance!I27</f>
        <v>P</v>
      </c>
      <c r="J27" s="22" t="str">
        <f>Attendance!J27</f>
        <v>H</v>
      </c>
      <c r="K27" s="22" t="str">
        <f>Attendance!K27</f>
        <v>P</v>
      </c>
      <c r="L27" s="22" t="str">
        <f>Attendance!L27</f>
        <v>P</v>
      </c>
      <c r="M27" s="22" t="str">
        <f>Attendance!M27</f>
        <v>P</v>
      </c>
      <c r="N27" s="22" t="str">
        <f>Attendance!N27</f>
        <v>P</v>
      </c>
      <c r="O27" s="22" t="str">
        <f>Attendance!O27</f>
        <v>P</v>
      </c>
      <c r="P27" s="22" t="str">
        <f>Attendance!P27</f>
        <v>P</v>
      </c>
      <c r="Q27" s="22" t="str">
        <f>Attendance!Q27</f>
        <v>H</v>
      </c>
      <c r="R27" s="22" t="str">
        <f>Attendance!R27</f>
        <v>P</v>
      </c>
      <c r="S27" s="22" t="str">
        <f>Attendance!S27</f>
        <v>P</v>
      </c>
      <c r="T27" s="22" t="str">
        <f>Attendance!T27</f>
        <v>P</v>
      </c>
      <c r="U27" s="22" t="str">
        <f>Attendance!U27</f>
        <v>P</v>
      </c>
      <c r="V27" s="22" t="str">
        <f>Attendance!V27</f>
        <v>P</v>
      </c>
      <c r="W27" s="22" t="str">
        <f>Attendance!W27</f>
        <v>P</v>
      </c>
      <c r="X27" s="22" t="str">
        <f>Attendance!X27</f>
        <v>H</v>
      </c>
      <c r="Y27" s="22" t="str">
        <f>Attendance!Y27</f>
        <v>P</v>
      </c>
      <c r="Z27" s="22" t="str">
        <f>Attendance!Z27</f>
        <v>P</v>
      </c>
      <c r="AA27" s="22" t="str">
        <f>Attendance!AA27</f>
        <v>P</v>
      </c>
      <c r="AB27" s="22" t="str">
        <f>Attendance!AB27</f>
        <v>P</v>
      </c>
      <c r="AC27" s="22" t="str">
        <f>Attendance!AC27</f>
        <v>P</v>
      </c>
      <c r="AD27" s="22" t="str">
        <f>Attendance!AD27</f>
        <v>P</v>
      </c>
      <c r="AE27" s="13">
        <f>Attendance!AI27/Attendance!AH27</f>
        <v>589.28571428571433</v>
      </c>
      <c r="AF27" s="13">
        <f>(COUNTIF(C27:AD27,"P")+COUNTIF(C27:AD27,"H"))</f>
        <v>28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0</v>
      </c>
      <c r="AX27" s="23">
        <v>0</v>
      </c>
      <c r="AY27" s="23">
        <v>0</v>
      </c>
      <c r="AZ27" s="23">
        <v>0</v>
      </c>
      <c r="BA27" s="23">
        <v>0</v>
      </c>
      <c r="BB27" s="23">
        <v>0</v>
      </c>
      <c r="BC27" s="23">
        <v>0</v>
      </c>
      <c r="BD27" s="23">
        <f>AE27*AF27</f>
        <v>16500</v>
      </c>
      <c r="BE27" s="23">
        <f>ROUND(SUM(AG27:BD27),0)</f>
        <v>16500</v>
      </c>
    </row>
    <row r="28" spans="1:57" ht="17.100000000000001" customHeight="1" x14ac:dyDescent="0.35">
      <c r="A28" s="20">
        <v>25</v>
      </c>
      <c r="B28" s="21" t="str">
        <f>Attendance!B28</f>
        <v>M Swarupa</v>
      </c>
      <c r="C28" s="22" t="str">
        <f>Attendance!C28</f>
        <v>H</v>
      </c>
      <c r="D28" s="22" t="str">
        <f>Attendance!D28</f>
        <v>L</v>
      </c>
      <c r="E28" s="22" t="str">
        <f>Attendance!E28</f>
        <v>P</v>
      </c>
      <c r="F28" s="22" t="str">
        <f>Attendance!F28</f>
        <v>P</v>
      </c>
      <c r="G28" s="22" t="str">
        <f>Attendance!G28</f>
        <v>P</v>
      </c>
      <c r="H28" s="22" t="str">
        <f>Attendance!H28</f>
        <v>P</v>
      </c>
      <c r="I28" s="22" t="str">
        <f>Attendance!I28</f>
        <v>P</v>
      </c>
      <c r="J28" s="22" t="str">
        <f>Attendance!J28</f>
        <v>H</v>
      </c>
      <c r="K28" s="22" t="str">
        <f>Attendance!K28</f>
        <v>P</v>
      </c>
      <c r="L28" s="22" t="str">
        <f>Attendance!L28</f>
        <v>P</v>
      </c>
      <c r="M28" s="22" t="str">
        <f>Attendance!M28</f>
        <v>P</v>
      </c>
      <c r="N28" s="22" t="str">
        <f>Attendance!N28</f>
        <v>P</v>
      </c>
      <c r="O28" s="22" t="str">
        <f>Attendance!O28</f>
        <v>P</v>
      </c>
      <c r="P28" s="22" t="str">
        <f>Attendance!P28</f>
        <v>L</v>
      </c>
      <c r="Q28" s="22" t="str">
        <f>Attendance!Q28</f>
        <v>H</v>
      </c>
      <c r="R28" s="22" t="str">
        <f>Attendance!R28</f>
        <v>L</v>
      </c>
      <c r="S28" s="22" t="str">
        <f>Attendance!S28</f>
        <v>L</v>
      </c>
      <c r="T28" s="22" t="str">
        <f>Attendance!T28</f>
        <v>P</v>
      </c>
      <c r="U28" s="22" t="str">
        <f>Attendance!U28</f>
        <v>P</v>
      </c>
      <c r="V28" s="22" t="str">
        <f>Attendance!V28</f>
        <v>P</v>
      </c>
      <c r="W28" s="22" t="str">
        <f>Attendance!W28</f>
        <v>P</v>
      </c>
      <c r="X28" s="22" t="str">
        <f>Attendance!X28</f>
        <v>H</v>
      </c>
      <c r="Y28" s="22" t="str">
        <f>Attendance!Y28</f>
        <v>P</v>
      </c>
      <c r="Z28" s="22" t="str">
        <f>Attendance!Z28</f>
        <v>P</v>
      </c>
      <c r="AA28" s="22" t="str">
        <f>Attendance!AA28</f>
        <v>P</v>
      </c>
      <c r="AB28" s="22" t="str">
        <f>Attendance!AB28</f>
        <v>P</v>
      </c>
      <c r="AC28" s="22" t="str">
        <f>Attendance!AC28</f>
        <v>P</v>
      </c>
      <c r="AD28" s="22" t="str">
        <f>Attendance!AD28</f>
        <v>P</v>
      </c>
      <c r="AE28" s="13">
        <f>Attendance!AI28/Attendance!AH28</f>
        <v>589.29166666666663</v>
      </c>
      <c r="AF28" s="13">
        <f>(COUNTIF(C28:AD28,"P")+COUNTIF(C28:AD28,"H"))</f>
        <v>24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0</v>
      </c>
      <c r="AX28" s="23">
        <f>AE28*10</f>
        <v>5892.9166666666661</v>
      </c>
      <c r="AY28" s="23">
        <v>0</v>
      </c>
      <c r="AZ28" s="23">
        <v>0</v>
      </c>
      <c r="BA28" s="23">
        <f>AE28*14</f>
        <v>8250.0833333333321</v>
      </c>
      <c r="BB28" s="23">
        <v>0</v>
      </c>
      <c r="BC28" s="23">
        <v>0</v>
      </c>
      <c r="BD28" s="23">
        <v>0</v>
      </c>
      <c r="BE28" s="23">
        <f>ROUND(SUM(AG28:BD28),0)</f>
        <v>14143</v>
      </c>
    </row>
    <row r="29" spans="1:57" ht="17.100000000000001" customHeight="1" x14ac:dyDescent="0.35">
      <c r="A29" s="24">
        <v>26</v>
      </c>
      <c r="B29" s="21" t="str">
        <f>Attendance!B29</f>
        <v>M.Esthar Rani</v>
      </c>
      <c r="C29" s="22" t="str">
        <f>Attendance!C29</f>
        <v>H</v>
      </c>
      <c r="D29" s="22" t="str">
        <f>Attendance!D29</f>
        <v>P</v>
      </c>
      <c r="E29" s="22" t="str">
        <f>Attendance!E29</f>
        <v>P</v>
      </c>
      <c r="F29" s="22" t="str">
        <f>Attendance!F29</f>
        <v>P</v>
      </c>
      <c r="G29" s="22" t="str">
        <f>Attendance!G29</f>
        <v>P</v>
      </c>
      <c r="H29" s="22" t="str">
        <f>Attendance!H29</f>
        <v>P</v>
      </c>
      <c r="I29" s="22" t="str">
        <f>Attendance!I29</f>
        <v>P</v>
      </c>
      <c r="J29" s="22" t="str">
        <f>Attendance!J29</f>
        <v>H</v>
      </c>
      <c r="K29" s="22" t="str">
        <f>Attendance!K29</f>
        <v>L</v>
      </c>
      <c r="L29" s="22" t="str">
        <f>Attendance!L29</f>
        <v>P</v>
      </c>
      <c r="M29" s="22" t="str">
        <f>Attendance!M29</f>
        <v>P</v>
      </c>
      <c r="N29" s="22" t="str">
        <f>Attendance!N29</f>
        <v>P</v>
      </c>
      <c r="O29" s="22" t="str">
        <f>Attendance!O29</f>
        <v>P</v>
      </c>
      <c r="P29" s="22" t="str">
        <f>Attendance!P29</f>
        <v>P</v>
      </c>
      <c r="Q29" s="22" t="str">
        <f>Attendance!Q29</f>
        <v>H</v>
      </c>
      <c r="R29" s="22" t="str">
        <f>Attendance!R29</f>
        <v>P</v>
      </c>
      <c r="S29" s="22" t="str">
        <f>Attendance!S29</f>
        <v>P</v>
      </c>
      <c r="T29" s="22" t="str">
        <f>Attendance!T29</f>
        <v>P</v>
      </c>
      <c r="U29" s="22" t="str">
        <f>Attendance!U29</f>
        <v>P</v>
      </c>
      <c r="V29" s="22" t="str">
        <f>Attendance!V29</f>
        <v>P</v>
      </c>
      <c r="W29" s="22" t="str">
        <f>Attendance!W29</f>
        <v>L</v>
      </c>
      <c r="X29" s="22" t="str">
        <f>Attendance!X29</f>
        <v>H</v>
      </c>
      <c r="Y29" s="22" t="str">
        <f>Attendance!Y29</f>
        <v>P</v>
      </c>
      <c r="Z29" s="22" t="str">
        <f>Attendance!Z29</f>
        <v>P</v>
      </c>
      <c r="AA29" s="22" t="str">
        <f>Attendance!AA29</f>
        <v>P</v>
      </c>
      <c r="AB29" s="22" t="str">
        <f>Attendance!AB29</f>
        <v>P</v>
      </c>
      <c r="AC29" s="22" t="str">
        <f>Attendance!AC29</f>
        <v>P</v>
      </c>
      <c r="AD29" s="22" t="str">
        <f>Attendance!AD29</f>
        <v>P</v>
      </c>
      <c r="AE29" s="13">
        <f>Attendance!AI29/Attendance!AH29</f>
        <v>589.26923076923072</v>
      </c>
      <c r="AF29" s="13">
        <f>(COUNTIF(C29:AD29,"P")+COUNTIF(C29:AD29,"H"))</f>
        <v>26</v>
      </c>
      <c r="AG29" s="23">
        <v>0</v>
      </c>
      <c r="AH29" s="23">
        <f>AE29*AF29</f>
        <v>15320.999999999998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  <c r="AX29" s="23">
        <v>0</v>
      </c>
      <c r="AY29" s="23">
        <v>0</v>
      </c>
      <c r="AZ29" s="23">
        <v>0</v>
      </c>
      <c r="BA29" s="23">
        <v>0</v>
      </c>
      <c r="BB29" s="23">
        <v>0</v>
      </c>
      <c r="BC29" s="23">
        <v>0</v>
      </c>
      <c r="BD29" s="23">
        <v>0</v>
      </c>
      <c r="BE29" s="23">
        <f>ROUND(SUM(AG29:BD29),0)</f>
        <v>15321</v>
      </c>
    </row>
    <row r="30" spans="1:57" ht="17.100000000000001" customHeight="1" x14ac:dyDescent="0.35">
      <c r="A30" s="20">
        <v>27</v>
      </c>
      <c r="B30" s="21" t="str">
        <f>Attendance!B30</f>
        <v>Mamidi Raj kumar</v>
      </c>
      <c r="C30" s="22" t="str">
        <f>Attendance!C30</f>
        <v>H</v>
      </c>
      <c r="D30" s="22" t="str">
        <f>Attendance!D30</f>
        <v>P</v>
      </c>
      <c r="E30" s="22" t="str">
        <f>Attendance!E30</f>
        <v>P</v>
      </c>
      <c r="F30" s="22" t="str">
        <f>Attendance!F30</f>
        <v>P</v>
      </c>
      <c r="G30" s="22" t="str">
        <f>Attendance!G30</f>
        <v>P</v>
      </c>
      <c r="H30" s="22" t="str">
        <f>Attendance!H30</f>
        <v>P</v>
      </c>
      <c r="I30" s="22" t="str">
        <f>Attendance!I30</f>
        <v>P</v>
      </c>
      <c r="J30" s="22" t="str">
        <f>Attendance!J30</f>
        <v>H</v>
      </c>
      <c r="K30" s="22" t="str">
        <f>Attendance!K30</f>
        <v>P</v>
      </c>
      <c r="L30" s="22" t="str">
        <f>Attendance!L30</f>
        <v>P</v>
      </c>
      <c r="M30" s="22" t="str">
        <f>Attendance!M30</f>
        <v>P</v>
      </c>
      <c r="N30" s="22" t="str">
        <f>Attendance!N30</f>
        <v>P</v>
      </c>
      <c r="O30" s="22" t="str">
        <f>Attendance!O30</f>
        <v>P</v>
      </c>
      <c r="P30" s="22" t="str">
        <f>Attendance!P30</f>
        <v>P</v>
      </c>
      <c r="Q30" s="22" t="str">
        <f>Attendance!Q30</f>
        <v>H</v>
      </c>
      <c r="R30" s="22" t="str">
        <f>Attendance!R30</f>
        <v>P</v>
      </c>
      <c r="S30" s="22" t="str">
        <f>Attendance!S30</f>
        <v>L</v>
      </c>
      <c r="T30" s="22" t="str">
        <f>Attendance!T30</f>
        <v>P</v>
      </c>
      <c r="U30" s="22" t="str">
        <f>Attendance!U30</f>
        <v>P</v>
      </c>
      <c r="V30" s="22" t="str">
        <f>Attendance!V30</f>
        <v>P</v>
      </c>
      <c r="W30" s="22" t="str">
        <f>Attendance!W30</f>
        <v>P</v>
      </c>
      <c r="X30" s="22" t="str">
        <f>Attendance!X30</f>
        <v>H</v>
      </c>
      <c r="Y30" s="22" t="str">
        <f>Attendance!Y30</f>
        <v>P</v>
      </c>
      <c r="Z30" s="22" t="str">
        <f>Attendance!Z30</f>
        <v>P</v>
      </c>
      <c r="AA30" s="22" t="str">
        <f>Attendance!AA30</f>
        <v>L</v>
      </c>
      <c r="AB30" s="22" t="str">
        <f>Attendance!AB30</f>
        <v>P</v>
      </c>
      <c r="AC30" s="22" t="str">
        <f>Attendance!AC30</f>
        <v>P</v>
      </c>
      <c r="AD30" s="22" t="str">
        <f>Attendance!AD30</f>
        <v>P</v>
      </c>
      <c r="AE30" s="13">
        <f>Attendance!AI30/Attendance!AH30</f>
        <v>589.26923076923072</v>
      </c>
      <c r="AF30" s="13">
        <f>(COUNTIF(C30:AD30,"P")+COUNTIF(C30:AD30,"H"))</f>
        <v>26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  <c r="AX30" s="23">
        <v>0</v>
      </c>
      <c r="AY30" s="23">
        <v>0</v>
      </c>
      <c r="AZ30" s="23">
        <v>0</v>
      </c>
      <c r="BA30" s="23">
        <v>0</v>
      </c>
      <c r="BB30" s="23">
        <v>0</v>
      </c>
      <c r="BC30" s="23">
        <v>0</v>
      </c>
      <c r="BD30" s="23">
        <f>AE30*AF30</f>
        <v>15320.999999999998</v>
      </c>
      <c r="BE30" s="23">
        <f>ROUND(SUM(AG30:BD30),0)</f>
        <v>15321</v>
      </c>
    </row>
    <row r="31" spans="1:57" ht="17.100000000000001" customHeight="1" x14ac:dyDescent="0.35">
      <c r="A31" s="24">
        <v>28</v>
      </c>
      <c r="B31" s="21" t="str">
        <f>Attendance!B31</f>
        <v>Md Mainoddin</v>
      </c>
      <c r="C31" s="22" t="str">
        <f>Attendance!C31</f>
        <v>H</v>
      </c>
      <c r="D31" s="22" t="str">
        <f>Attendance!D31</f>
        <v>P</v>
      </c>
      <c r="E31" s="22" t="str">
        <f>Attendance!E31</f>
        <v>P</v>
      </c>
      <c r="F31" s="22" t="str">
        <f>Attendance!F31</f>
        <v>P</v>
      </c>
      <c r="G31" s="22" t="str">
        <f>Attendance!G31</f>
        <v>P</v>
      </c>
      <c r="H31" s="22" t="str">
        <f>Attendance!H31</f>
        <v>P</v>
      </c>
      <c r="I31" s="22" t="str">
        <f>Attendance!I31</f>
        <v>P</v>
      </c>
      <c r="J31" s="22" t="str">
        <f>Attendance!J31</f>
        <v>H</v>
      </c>
      <c r="K31" s="22" t="str">
        <f>Attendance!K31</f>
        <v>P</v>
      </c>
      <c r="L31" s="22" t="str">
        <f>Attendance!L31</f>
        <v>P</v>
      </c>
      <c r="M31" s="22" t="str">
        <f>Attendance!M31</f>
        <v>P</v>
      </c>
      <c r="N31" s="22" t="str">
        <f>Attendance!N31</f>
        <v>P</v>
      </c>
      <c r="O31" s="22" t="str">
        <f>Attendance!O31</f>
        <v>P</v>
      </c>
      <c r="P31" s="22" t="str">
        <f>Attendance!P31</f>
        <v>P</v>
      </c>
      <c r="Q31" s="22" t="str">
        <f>Attendance!Q31</f>
        <v>H</v>
      </c>
      <c r="R31" s="22" t="str">
        <f>Attendance!R31</f>
        <v>P</v>
      </c>
      <c r="S31" s="22" t="str">
        <f>Attendance!S31</f>
        <v>P</v>
      </c>
      <c r="T31" s="22" t="str">
        <f>Attendance!T31</f>
        <v>P</v>
      </c>
      <c r="U31" s="22" t="str">
        <f>Attendance!U31</f>
        <v>P</v>
      </c>
      <c r="V31" s="22" t="str">
        <f>Attendance!V31</f>
        <v>P</v>
      </c>
      <c r="W31" s="22" t="str">
        <f>Attendance!W31</f>
        <v>P</v>
      </c>
      <c r="X31" s="22" t="str">
        <f>Attendance!X31</f>
        <v>H</v>
      </c>
      <c r="Y31" s="22" t="str">
        <f>Attendance!Y31</f>
        <v>P</v>
      </c>
      <c r="Z31" s="22" t="str">
        <f>Attendance!Z31</f>
        <v>P</v>
      </c>
      <c r="AA31" s="22" t="str">
        <f>Attendance!AA31</f>
        <v>P</v>
      </c>
      <c r="AB31" s="22" t="str">
        <f>Attendance!AB31</f>
        <v>P</v>
      </c>
      <c r="AC31" s="22" t="str">
        <f>Attendance!AC31</f>
        <v>P</v>
      </c>
      <c r="AD31" s="22" t="str">
        <f>Attendance!AD31</f>
        <v>P</v>
      </c>
      <c r="AE31" s="13">
        <f>Attendance!AI31/Attendance!AH31</f>
        <v>589.28571428571433</v>
      </c>
      <c r="AF31" s="13">
        <f>(COUNTIF(C31:AD31,"P")+COUNTIF(C31:AD31,"H"))</f>
        <v>28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  <c r="AX31" s="23">
        <v>0</v>
      </c>
      <c r="AY31" s="23">
        <v>0</v>
      </c>
      <c r="AZ31" s="23">
        <v>0</v>
      </c>
      <c r="BA31" s="23">
        <v>0</v>
      </c>
      <c r="BB31" s="23">
        <v>0</v>
      </c>
      <c r="BC31" s="23">
        <v>0</v>
      </c>
      <c r="BD31" s="23">
        <f>AE31*AF31</f>
        <v>16500</v>
      </c>
      <c r="BE31" s="23">
        <f>ROUND(SUM(AG31:BD31),0)</f>
        <v>16500</v>
      </c>
    </row>
    <row r="32" spans="1:57" ht="17.100000000000001" customHeight="1" x14ac:dyDescent="0.35">
      <c r="A32" s="20">
        <v>29</v>
      </c>
      <c r="B32" s="21" t="str">
        <f>Attendance!B32</f>
        <v>Mekala Anusha</v>
      </c>
      <c r="C32" s="22" t="str">
        <f>Attendance!C32</f>
        <v>H</v>
      </c>
      <c r="D32" s="22" t="str">
        <f>Attendance!D32</f>
        <v>P</v>
      </c>
      <c r="E32" s="22" t="str">
        <f>Attendance!E32</f>
        <v>P</v>
      </c>
      <c r="F32" s="22" t="str">
        <f>Attendance!F32</f>
        <v>P</v>
      </c>
      <c r="G32" s="22" t="str">
        <f>Attendance!G32</f>
        <v>P</v>
      </c>
      <c r="H32" s="22" t="str">
        <f>Attendance!H32</f>
        <v>P</v>
      </c>
      <c r="I32" s="22" t="str">
        <f>Attendance!I32</f>
        <v>P</v>
      </c>
      <c r="J32" s="22" t="str">
        <f>Attendance!J32</f>
        <v>H</v>
      </c>
      <c r="K32" s="22" t="str">
        <f>Attendance!K32</f>
        <v>P</v>
      </c>
      <c r="L32" s="22" t="str">
        <f>Attendance!L32</f>
        <v>P</v>
      </c>
      <c r="M32" s="22" t="str">
        <f>Attendance!M32</f>
        <v>P</v>
      </c>
      <c r="N32" s="22" t="str">
        <f>Attendance!N32</f>
        <v>P</v>
      </c>
      <c r="O32" s="22" t="str">
        <f>Attendance!O32</f>
        <v>P</v>
      </c>
      <c r="P32" s="22" t="str">
        <f>Attendance!P32</f>
        <v>P</v>
      </c>
      <c r="Q32" s="22" t="str">
        <f>Attendance!Q32</f>
        <v>H</v>
      </c>
      <c r="R32" s="22" t="str">
        <f>Attendance!R32</f>
        <v>P</v>
      </c>
      <c r="S32" s="22" t="str">
        <f>Attendance!S32</f>
        <v>P</v>
      </c>
      <c r="T32" s="22" t="str">
        <f>Attendance!T32</f>
        <v>P</v>
      </c>
      <c r="U32" s="22" t="str">
        <f>Attendance!U32</f>
        <v>P</v>
      </c>
      <c r="V32" s="22" t="str">
        <f>Attendance!V32</f>
        <v>P</v>
      </c>
      <c r="W32" s="22" t="str">
        <f>Attendance!W32</f>
        <v>P</v>
      </c>
      <c r="X32" s="22" t="str">
        <f>Attendance!X32</f>
        <v>H</v>
      </c>
      <c r="Y32" s="22" t="str">
        <f>Attendance!Y32</f>
        <v>P</v>
      </c>
      <c r="Z32" s="22" t="str">
        <f>Attendance!Z32</f>
        <v>P</v>
      </c>
      <c r="AA32" s="22" t="str">
        <f>Attendance!AA32</f>
        <v>P</v>
      </c>
      <c r="AB32" s="22" t="str">
        <f>Attendance!AB32</f>
        <v>P</v>
      </c>
      <c r="AC32" s="22" t="str">
        <f>Attendance!AC32</f>
        <v>P</v>
      </c>
      <c r="AD32" s="22" t="str">
        <f>Attendance!AD32</f>
        <v>P</v>
      </c>
      <c r="AE32" s="13">
        <f>Attendance!AI32/Attendance!AH32</f>
        <v>589.28571428571433</v>
      </c>
      <c r="AF32" s="13">
        <f>(COUNTIF(C32:AD32,"P")+COUNTIF(C32:AD32,"H"))</f>
        <v>28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  <c r="AX32" s="23">
        <v>0</v>
      </c>
      <c r="AY32" s="23">
        <v>0</v>
      </c>
      <c r="AZ32" s="23">
        <v>0</v>
      </c>
      <c r="BA32" s="23">
        <v>0</v>
      </c>
      <c r="BB32" s="23">
        <v>0</v>
      </c>
      <c r="BC32" s="23">
        <v>0</v>
      </c>
      <c r="BD32" s="23">
        <f>AE32*AF32</f>
        <v>16500</v>
      </c>
      <c r="BE32" s="23">
        <f>ROUND(SUM(AG32:BD32),0)</f>
        <v>16500</v>
      </c>
    </row>
    <row r="33" spans="1:57" ht="17.100000000000001" customHeight="1" x14ac:dyDescent="0.35">
      <c r="A33" s="24">
        <v>30</v>
      </c>
      <c r="B33" s="21" t="str">
        <f>Attendance!B33</f>
        <v>Mohammad Naziya</v>
      </c>
      <c r="C33" s="22" t="str">
        <f>Attendance!C33</f>
        <v>H</v>
      </c>
      <c r="D33" s="22" t="str">
        <f>Attendance!D33</f>
        <v>P</v>
      </c>
      <c r="E33" s="22" t="str">
        <f>Attendance!E33</f>
        <v>P</v>
      </c>
      <c r="F33" s="22" t="str">
        <f>Attendance!F33</f>
        <v>P</v>
      </c>
      <c r="G33" s="22" t="str">
        <f>Attendance!G33</f>
        <v>P</v>
      </c>
      <c r="H33" s="22" t="str">
        <f>Attendance!H33</f>
        <v>P</v>
      </c>
      <c r="I33" s="22" t="str">
        <f>Attendance!I33</f>
        <v>P</v>
      </c>
      <c r="J33" s="22" t="str">
        <f>Attendance!J33</f>
        <v>H</v>
      </c>
      <c r="K33" s="22" t="str">
        <f>Attendance!K33</f>
        <v>P</v>
      </c>
      <c r="L33" s="22" t="str">
        <f>Attendance!L33</f>
        <v>P</v>
      </c>
      <c r="M33" s="22" t="str">
        <f>Attendance!M33</f>
        <v>P</v>
      </c>
      <c r="N33" s="22" t="str">
        <f>Attendance!N33</f>
        <v>P</v>
      </c>
      <c r="O33" s="22" t="str">
        <f>Attendance!O33</f>
        <v>P</v>
      </c>
      <c r="P33" s="22" t="str">
        <f>Attendance!P33</f>
        <v>P</v>
      </c>
      <c r="Q33" s="22" t="str">
        <f>Attendance!Q33</f>
        <v>H</v>
      </c>
      <c r="R33" s="22" t="str">
        <f>Attendance!R33</f>
        <v>P</v>
      </c>
      <c r="S33" s="22" t="str">
        <f>Attendance!S33</f>
        <v>P</v>
      </c>
      <c r="T33" s="22" t="str">
        <f>Attendance!T33</f>
        <v>P</v>
      </c>
      <c r="U33" s="22" t="str">
        <f>Attendance!U33</f>
        <v>P</v>
      </c>
      <c r="V33" s="22" t="str">
        <f>Attendance!V33</f>
        <v>P</v>
      </c>
      <c r="W33" s="22" t="str">
        <f>Attendance!W33</f>
        <v>P</v>
      </c>
      <c r="X33" s="22" t="str">
        <f>Attendance!X33</f>
        <v>H</v>
      </c>
      <c r="Y33" s="22" t="str">
        <f>Attendance!Y33</f>
        <v>P</v>
      </c>
      <c r="Z33" s="22" t="str">
        <f>Attendance!Z33</f>
        <v>P</v>
      </c>
      <c r="AA33" s="22" t="str">
        <f>Attendance!AA33</f>
        <v>P</v>
      </c>
      <c r="AB33" s="22" t="str">
        <f>Attendance!AB33</f>
        <v>P</v>
      </c>
      <c r="AC33" s="22" t="str">
        <f>Attendance!AC33</f>
        <v>P</v>
      </c>
      <c r="AD33" s="22" t="str">
        <f>Attendance!AD33</f>
        <v>P</v>
      </c>
      <c r="AE33" s="13">
        <f>Attendance!AI33/Attendance!AH33</f>
        <v>589.28571428571433</v>
      </c>
      <c r="AF33" s="13">
        <f>(COUNTIF(C33:AD33,"P")+COUNTIF(C33:AD33,"H"))</f>
        <v>28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0</v>
      </c>
      <c r="AU33" s="23">
        <v>0</v>
      </c>
      <c r="AV33" s="23">
        <v>0</v>
      </c>
      <c r="AW33" s="23">
        <v>0</v>
      </c>
      <c r="AX33" s="23">
        <v>0</v>
      </c>
      <c r="AY33" s="23">
        <v>0</v>
      </c>
      <c r="AZ33" s="23">
        <v>0</v>
      </c>
      <c r="BA33" s="23">
        <v>0</v>
      </c>
      <c r="BB33" s="23">
        <v>0</v>
      </c>
      <c r="BC33" s="23">
        <v>0</v>
      </c>
      <c r="BD33" s="23">
        <f>AE33*AF33</f>
        <v>16500</v>
      </c>
      <c r="BE33" s="23">
        <f>ROUND(SUM(AG33:BD33),0)</f>
        <v>16500</v>
      </c>
    </row>
    <row r="34" spans="1:57" ht="17.100000000000001" customHeight="1" x14ac:dyDescent="0.35">
      <c r="A34" s="20">
        <v>31</v>
      </c>
      <c r="B34" s="21" t="str">
        <f>Attendance!B34</f>
        <v>Mohammad Shaheen Begum</v>
      </c>
      <c r="C34" s="22" t="str">
        <f>Attendance!C34</f>
        <v>H</v>
      </c>
      <c r="D34" s="22" t="str">
        <f>Attendance!D34</f>
        <v>P</v>
      </c>
      <c r="E34" s="22" t="str">
        <f>Attendance!E34</f>
        <v>P</v>
      </c>
      <c r="F34" s="22" t="str">
        <f>Attendance!F34</f>
        <v>P</v>
      </c>
      <c r="G34" s="22" t="str">
        <f>Attendance!G34</f>
        <v>P</v>
      </c>
      <c r="H34" s="22" t="str">
        <f>Attendance!H34</f>
        <v>P</v>
      </c>
      <c r="I34" s="22" t="str">
        <f>Attendance!I34</f>
        <v>P</v>
      </c>
      <c r="J34" s="22" t="str">
        <f>Attendance!J34</f>
        <v>H</v>
      </c>
      <c r="K34" s="22" t="str">
        <f>Attendance!K34</f>
        <v>P</v>
      </c>
      <c r="L34" s="22" t="str">
        <f>Attendance!L34</f>
        <v>P</v>
      </c>
      <c r="M34" s="22" t="str">
        <f>Attendance!M34</f>
        <v>P</v>
      </c>
      <c r="N34" s="22" t="str">
        <f>Attendance!N34</f>
        <v>P</v>
      </c>
      <c r="O34" s="22" t="str">
        <f>Attendance!O34</f>
        <v>L</v>
      </c>
      <c r="P34" s="22" t="str">
        <f>Attendance!P34</f>
        <v>P</v>
      </c>
      <c r="Q34" s="22" t="str">
        <f>Attendance!Q34</f>
        <v>H</v>
      </c>
      <c r="R34" s="22" t="str">
        <f>Attendance!R34</f>
        <v>P</v>
      </c>
      <c r="S34" s="22" t="str">
        <f>Attendance!S34</f>
        <v>L</v>
      </c>
      <c r="T34" s="22" t="str">
        <f>Attendance!T34</f>
        <v>P</v>
      </c>
      <c r="U34" s="22" t="str">
        <f>Attendance!U34</f>
        <v>L</v>
      </c>
      <c r="V34" s="22" t="str">
        <f>Attendance!V34</f>
        <v>P</v>
      </c>
      <c r="W34" s="22" t="str">
        <f>Attendance!W34</f>
        <v>L</v>
      </c>
      <c r="X34" s="22" t="str">
        <f>Attendance!X34</f>
        <v>H</v>
      </c>
      <c r="Y34" s="22" t="str">
        <f>Attendance!Y34</f>
        <v>L</v>
      </c>
      <c r="Z34" s="22" t="str">
        <f>Attendance!Z34</f>
        <v>P</v>
      </c>
      <c r="AA34" s="22" t="str">
        <f>Attendance!AA34</f>
        <v>P</v>
      </c>
      <c r="AB34" s="22" t="str">
        <f>Attendance!AB34</f>
        <v>P</v>
      </c>
      <c r="AC34" s="22" t="str">
        <f>Attendance!AC34</f>
        <v>L</v>
      </c>
      <c r="AD34" s="22" t="str">
        <f>Attendance!AD34</f>
        <v>P</v>
      </c>
      <c r="AE34" s="13">
        <f>Attendance!AI34/Attendance!AH34</f>
        <v>589.27272727272725</v>
      </c>
      <c r="AF34" s="13">
        <f>(COUNTIF(C34:AD34,"P")+COUNTIF(C34:AD34,"H"))</f>
        <v>22</v>
      </c>
      <c r="AG34" s="23">
        <v>0</v>
      </c>
      <c r="AH34" s="23">
        <v>0</v>
      </c>
      <c r="AI34" s="23">
        <v>0</v>
      </c>
      <c r="AJ34" s="23">
        <f>AE34*AF34</f>
        <v>12964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0</v>
      </c>
      <c r="AX34" s="23">
        <v>0</v>
      </c>
      <c r="AY34" s="23">
        <v>0</v>
      </c>
      <c r="AZ34" s="23">
        <v>0</v>
      </c>
      <c r="BA34" s="23">
        <v>0</v>
      </c>
      <c r="BB34" s="23">
        <v>0</v>
      </c>
      <c r="BC34" s="23">
        <v>0</v>
      </c>
      <c r="BD34" s="23">
        <v>0</v>
      </c>
      <c r="BE34" s="23">
        <f>ROUND(SUM(AG34:BD34),0)</f>
        <v>12964</v>
      </c>
    </row>
    <row r="35" spans="1:57" ht="17.100000000000001" customHeight="1" x14ac:dyDescent="0.35">
      <c r="A35" s="24">
        <v>32</v>
      </c>
      <c r="B35" s="21" t="str">
        <f>Attendance!B35</f>
        <v>Mohammed Yaqoob khan</v>
      </c>
      <c r="C35" s="22" t="str">
        <f>Attendance!C35</f>
        <v>H</v>
      </c>
      <c r="D35" s="22" t="str">
        <f>Attendance!D35</f>
        <v>P</v>
      </c>
      <c r="E35" s="22" t="str">
        <f>Attendance!E35</f>
        <v>P</v>
      </c>
      <c r="F35" s="22" t="str">
        <f>Attendance!F35</f>
        <v>P</v>
      </c>
      <c r="G35" s="22" t="str">
        <f>Attendance!G35</f>
        <v>P</v>
      </c>
      <c r="H35" s="22" t="str">
        <f>Attendance!H35</f>
        <v>L</v>
      </c>
      <c r="I35" s="22" t="str">
        <f>Attendance!I35</f>
        <v>L</v>
      </c>
      <c r="J35" s="22" t="str">
        <f>Attendance!J35</f>
        <v>H</v>
      </c>
      <c r="K35" s="22" t="str">
        <f>Attendance!K35</f>
        <v>L</v>
      </c>
      <c r="L35" s="22" t="str">
        <f>Attendance!L35</f>
        <v>P</v>
      </c>
      <c r="M35" s="22" t="str">
        <f>Attendance!M35</f>
        <v>P</v>
      </c>
      <c r="N35" s="22" t="str">
        <f>Attendance!N35</f>
        <v>P</v>
      </c>
      <c r="O35" s="22" t="str">
        <f>Attendance!O35</f>
        <v>P</v>
      </c>
      <c r="P35" s="22" t="str">
        <f>Attendance!P35</f>
        <v>P</v>
      </c>
      <c r="Q35" s="22" t="str">
        <f>Attendance!Q35</f>
        <v>H</v>
      </c>
      <c r="R35" s="22" t="str">
        <f>Attendance!R35</f>
        <v>P</v>
      </c>
      <c r="S35" s="22" t="str">
        <f>Attendance!S35</f>
        <v>P</v>
      </c>
      <c r="T35" s="22" t="str">
        <f>Attendance!T35</f>
        <v>P</v>
      </c>
      <c r="U35" s="22" t="str">
        <f>Attendance!U35</f>
        <v>P</v>
      </c>
      <c r="V35" s="22" t="str">
        <f>Attendance!V35</f>
        <v>P</v>
      </c>
      <c r="W35" s="22" t="str">
        <f>Attendance!W35</f>
        <v>P</v>
      </c>
      <c r="X35" s="22" t="str">
        <f>Attendance!X35</f>
        <v>H</v>
      </c>
      <c r="Y35" s="22" t="str">
        <f>Attendance!Y35</f>
        <v>P</v>
      </c>
      <c r="Z35" s="22" t="str">
        <f>Attendance!Z35</f>
        <v>P</v>
      </c>
      <c r="AA35" s="22" t="str">
        <f>Attendance!AA35</f>
        <v>P</v>
      </c>
      <c r="AB35" s="22" t="str">
        <f>Attendance!AB35</f>
        <v>P</v>
      </c>
      <c r="AC35" s="22" t="str">
        <f>Attendance!AC35</f>
        <v>P</v>
      </c>
      <c r="AD35" s="22" t="str">
        <f>Attendance!AD35</f>
        <v>P</v>
      </c>
      <c r="AE35" s="13">
        <f>Attendance!AI35/Attendance!AH35</f>
        <v>589.28</v>
      </c>
      <c r="AF35" s="13">
        <f>(COUNTIF(C35:AD35,"P")+COUNTIF(C35:AD35,"H"))</f>
        <v>25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0</v>
      </c>
      <c r="AT35" s="23">
        <v>0</v>
      </c>
      <c r="AU35" s="23">
        <v>0</v>
      </c>
      <c r="AV35" s="23">
        <v>0</v>
      </c>
      <c r="AW35" s="23">
        <v>0</v>
      </c>
      <c r="AX35" s="23">
        <v>0</v>
      </c>
      <c r="AY35" s="23">
        <v>0</v>
      </c>
      <c r="AZ35" s="23">
        <v>0</v>
      </c>
      <c r="BA35" s="23">
        <v>0</v>
      </c>
      <c r="BB35" s="23">
        <v>0</v>
      </c>
      <c r="BC35" s="23">
        <v>0</v>
      </c>
      <c r="BD35" s="23">
        <f>AE35*AF35</f>
        <v>14732</v>
      </c>
      <c r="BE35" s="23">
        <f>ROUND(SUM(AG35:BD35),0)</f>
        <v>14732</v>
      </c>
    </row>
    <row r="36" spans="1:57" ht="17.100000000000001" customHeight="1" x14ac:dyDescent="0.35">
      <c r="A36" s="20">
        <v>33</v>
      </c>
      <c r="B36" s="21" t="str">
        <f>Attendance!B36</f>
        <v>Mudavath Balakoti</v>
      </c>
      <c r="C36" s="22" t="str">
        <f>Attendance!C36</f>
        <v>H</v>
      </c>
      <c r="D36" s="22" t="str">
        <f>Attendance!D36</f>
        <v>P</v>
      </c>
      <c r="E36" s="22" t="str">
        <f>Attendance!E36</f>
        <v>P</v>
      </c>
      <c r="F36" s="22" t="str">
        <f>Attendance!F36</f>
        <v>P</v>
      </c>
      <c r="G36" s="22" t="str">
        <f>Attendance!G36</f>
        <v>P</v>
      </c>
      <c r="H36" s="22" t="str">
        <f>Attendance!H36</f>
        <v>P</v>
      </c>
      <c r="I36" s="22" t="str">
        <f>Attendance!I36</f>
        <v>P</v>
      </c>
      <c r="J36" s="22" t="str">
        <f>Attendance!J36</f>
        <v>H</v>
      </c>
      <c r="K36" s="22" t="str">
        <f>Attendance!K36</f>
        <v>P</v>
      </c>
      <c r="L36" s="22" t="str">
        <f>Attendance!L36</f>
        <v>P</v>
      </c>
      <c r="M36" s="22" t="str">
        <f>Attendance!M36</f>
        <v>P</v>
      </c>
      <c r="N36" s="22" t="str">
        <f>Attendance!N36</f>
        <v>P</v>
      </c>
      <c r="O36" s="22" t="str">
        <f>Attendance!O36</f>
        <v>P</v>
      </c>
      <c r="P36" s="22" t="str">
        <f>Attendance!P36</f>
        <v>P</v>
      </c>
      <c r="Q36" s="22" t="str">
        <f>Attendance!Q36</f>
        <v>H</v>
      </c>
      <c r="R36" s="22" t="str">
        <f>Attendance!R36</f>
        <v>L</v>
      </c>
      <c r="S36" s="22" t="str">
        <f>Attendance!S36</f>
        <v>P</v>
      </c>
      <c r="T36" s="22" t="str">
        <f>Attendance!T36</f>
        <v>P</v>
      </c>
      <c r="U36" s="22" t="str">
        <f>Attendance!U36</f>
        <v>L</v>
      </c>
      <c r="V36" s="22" t="str">
        <f>Attendance!V36</f>
        <v>P</v>
      </c>
      <c r="W36" s="22" t="str">
        <f>Attendance!W36</f>
        <v>L</v>
      </c>
      <c r="X36" s="22" t="str">
        <f>Attendance!X36</f>
        <v>H</v>
      </c>
      <c r="Y36" s="22" t="str">
        <f>Attendance!Y36</f>
        <v>L</v>
      </c>
      <c r="Z36" s="22" t="str">
        <f>Attendance!Z36</f>
        <v>P</v>
      </c>
      <c r="AA36" s="22" t="str">
        <f>Attendance!AA36</f>
        <v>P</v>
      </c>
      <c r="AB36" s="22" t="str">
        <f>Attendance!AB36</f>
        <v>P</v>
      </c>
      <c r="AC36" s="22" t="str">
        <f>Attendance!AC36</f>
        <v>P</v>
      </c>
      <c r="AD36" s="22" t="str">
        <f>Attendance!AD36</f>
        <v>P</v>
      </c>
      <c r="AE36" s="13">
        <f>Attendance!AI36/Attendance!AH36</f>
        <v>589.29166666666663</v>
      </c>
      <c r="AF36" s="13">
        <f>(COUNTIF(C36:AD36,"P")+COUNTIF(C36:AD36,"H"))</f>
        <v>24</v>
      </c>
      <c r="AG36" s="23">
        <v>0</v>
      </c>
      <c r="AH36" s="23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0</v>
      </c>
      <c r="AT36" s="23">
        <v>0</v>
      </c>
      <c r="AU36" s="23">
        <v>0</v>
      </c>
      <c r="AV36" s="23">
        <v>0</v>
      </c>
      <c r="AW36" s="23">
        <v>0</v>
      </c>
      <c r="AX36" s="23">
        <v>0</v>
      </c>
      <c r="AY36" s="23">
        <v>0</v>
      </c>
      <c r="AZ36" s="23">
        <v>0</v>
      </c>
      <c r="BA36" s="23">
        <v>0</v>
      </c>
      <c r="BB36" s="23">
        <v>0</v>
      </c>
      <c r="BC36" s="23">
        <v>0</v>
      </c>
      <c r="BD36" s="23">
        <f>AE36*AF36</f>
        <v>14143</v>
      </c>
      <c r="BE36" s="23">
        <f>ROUND(SUM(AG36:BD36),0)</f>
        <v>14143</v>
      </c>
    </row>
    <row r="37" spans="1:57" ht="17.100000000000001" customHeight="1" x14ac:dyDescent="0.35">
      <c r="A37" s="24">
        <v>34</v>
      </c>
      <c r="B37" s="21" t="str">
        <f>Attendance!B37</f>
        <v>Mudavath Kiran</v>
      </c>
      <c r="C37" s="22" t="str">
        <f>Attendance!C37</f>
        <v>H</v>
      </c>
      <c r="D37" s="22" t="str">
        <f>Attendance!D37</f>
        <v>P</v>
      </c>
      <c r="E37" s="22" t="str">
        <f>Attendance!E37</f>
        <v>P</v>
      </c>
      <c r="F37" s="22" t="str">
        <f>Attendance!F37</f>
        <v>P</v>
      </c>
      <c r="G37" s="22" t="str">
        <f>Attendance!G37</f>
        <v>P</v>
      </c>
      <c r="H37" s="22" t="str">
        <f>Attendance!H37</f>
        <v>P</v>
      </c>
      <c r="I37" s="22" t="str">
        <f>Attendance!I37</f>
        <v>P</v>
      </c>
      <c r="J37" s="22" t="str">
        <f>Attendance!J37</f>
        <v>H</v>
      </c>
      <c r="K37" s="22" t="str">
        <f>Attendance!K37</f>
        <v>P</v>
      </c>
      <c r="L37" s="22" t="str">
        <f>Attendance!L37</f>
        <v>P</v>
      </c>
      <c r="M37" s="22" t="str">
        <f>Attendance!M37</f>
        <v>P</v>
      </c>
      <c r="N37" s="22" t="str">
        <f>Attendance!N37</f>
        <v>P</v>
      </c>
      <c r="O37" s="22" t="str">
        <f>Attendance!O37</f>
        <v>P</v>
      </c>
      <c r="P37" s="22" t="str">
        <f>Attendance!P37</f>
        <v>P</v>
      </c>
      <c r="Q37" s="22" t="str">
        <f>Attendance!Q37</f>
        <v>H</v>
      </c>
      <c r="R37" s="22" t="str">
        <f>Attendance!R37</f>
        <v>P</v>
      </c>
      <c r="S37" s="22" t="str">
        <f>Attendance!S37</f>
        <v>L</v>
      </c>
      <c r="T37" s="22" t="str">
        <f>Attendance!T37</f>
        <v>P</v>
      </c>
      <c r="U37" s="22" t="str">
        <f>Attendance!U37</f>
        <v>P</v>
      </c>
      <c r="V37" s="22" t="str">
        <f>Attendance!V37</f>
        <v>P</v>
      </c>
      <c r="W37" s="22" t="str">
        <f>Attendance!W37</f>
        <v>P</v>
      </c>
      <c r="X37" s="22" t="str">
        <f>Attendance!X37</f>
        <v>H</v>
      </c>
      <c r="Y37" s="22" t="str">
        <f>Attendance!Y37</f>
        <v>P</v>
      </c>
      <c r="Z37" s="22" t="str">
        <f>Attendance!Z37</f>
        <v>P</v>
      </c>
      <c r="AA37" s="22" t="str">
        <f>Attendance!AA37</f>
        <v>P</v>
      </c>
      <c r="AB37" s="22" t="str">
        <f>Attendance!AB37</f>
        <v>P</v>
      </c>
      <c r="AC37" s="22" t="str">
        <f>Attendance!AC37</f>
        <v>P</v>
      </c>
      <c r="AD37" s="22" t="str">
        <f>Attendance!AD37</f>
        <v>P</v>
      </c>
      <c r="AE37" s="13">
        <f>Attendance!AI37/Attendance!AH37</f>
        <v>589.2962962962963</v>
      </c>
      <c r="AF37" s="13">
        <f>(COUNTIF(C37:AD37,"P")+COUNTIF(C37:AD37,"H"))</f>
        <v>27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f>AE37*14</f>
        <v>8250.1481481481478</v>
      </c>
      <c r="AR37" s="23">
        <v>0</v>
      </c>
      <c r="AS37" s="23">
        <f>AE37*13</f>
        <v>7660.8518518518522</v>
      </c>
      <c r="AT37" s="23">
        <v>0</v>
      </c>
      <c r="AU37" s="23">
        <v>0</v>
      </c>
      <c r="AV37" s="23">
        <v>0</v>
      </c>
      <c r="AW37" s="23">
        <v>0</v>
      </c>
      <c r="AX37" s="23">
        <v>0</v>
      </c>
      <c r="AY37" s="23">
        <v>0</v>
      </c>
      <c r="AZ37" s="23">
        <v>0</v>
      </c>
      <c r="BA37" s="23">
        <v>0</v>
      </c>
      <c r="BB37" s="23">
        <v>0</v>
      </c>
      <c r="BC37" s="23">
        <v>0</v>
      </c>
      <c r="BD37" s="23">
        <v>0</v>
      </c>
      <c r="BE37" s="23">
        <f>ROUND(SUM(AG37:BD37),0)</f>
        <v>15911</v>
      </c>
    </row>
    <row r="38" spans="1:57" ht="17.100000000000001" customHeight="1" x14ac:dyDescent="0.35">
      <c r="A38" s="20">
        <v>35</v>
      </c>
      <c r="B38" s="21" t="str">
        <f>Attendance!B38</f>
        <v>Mudavath Ramesh</v>
      </c>
      <c r="C38" s="22" t="str">
        <f>Attendance!C38</f>
        <v>H</v>
      </c>
      <c r="D38" s="22" t="str">
        <f>Attendance!D38</f>
        <v>P</v>
      </c>
      <c r="E38" s="22" t="str">
        <f>Attendance!E38</f>
        <v>P</v>
      </c>
      <c r="F38" s="22" t="str">
        <f>Attendance!F38</f>
        <v>P</v>
      </c>
      <c r="G38" s="22" t="str">
        <f>Attendance!G38</f>
        <v>P</v>
      </c>
      <c r="H38" s="22" t="str">
        <f>Attendance!H38</f>
        <v>P</v>
      </c>
      <c r="I38" s="22" t="str">
        <f>Attendance!I38</f>
        <v>P</v>
      </c>
      <c r="J38" s="22" t="str">
        <f>Attendance!J38</f>
        <v>H</v>
      </c>
      <c r="K38" s="22" t="str">
        <f>Attendance!K38</f>
        <v>P</v>
      </c>
      <c r="L38" s="22" t="str">
        <f>Attendance!L38</f>
        <v>P</v>
      </c>
      <c r="M38" s="22" t="str">
        <f>Attendance!M38</f>
        <v>P</v>
      </c>
      <c r="N38" s="22" t="str">
        <f>Attendance!N38</f>
        <v>P</v>
      </c>
      <c r="O38" s="22" t="str">
        <f>Attendance!O38</f>
        <v>L</v>
      </c>
      <c r="P38" s="22" t="str">
        <f>Attendance!P38</f>
        <v>L</v>
      </c>
      <c r="Q38" s="22" t="str">
        <f>Attendance!Q38</f>
        <v>H</v>
      </c>
      <c r="R38" s="22" t="str">
        <f>Attendance!R38</f>
        <v>L</v>
      </c>
      <c r="S38" s="22" t="str">
        <f>Attendance!S38</f>
        <v>P</v>
      </c>
      <c r="T38" s="22" t="str">
        <f>Attendance!T38</f>
        <v>P</v>
      </c>
      <c r="U38" s="22" t="str">
        <f>Attendance!U38</f>
        <v>P</v>
      </c>
      <c r="V38" s="22" t="str">
        <f>Attendance!V38</f>
        <v>P</v>
      </c>
      <c r="W38" s="22" t="str">
        <f>Attendance!W38</f>
        <v>P</v>
      </c>
      <c r="X38" s="22" t="str">
        <f>Attendance!X38</f>
        <v>H</v>
      </c>
      <c r="Y38" s="22" t="str">
        <f>Attendance!Y38</f>
        <v>P</v>
      </c>
      <c r="Z38" s="22" t="str">
        <f>Attendance!Z38</f>
        <v>P</v>
      </c>
      <c r="AA38" s="22" t="str">
        <f>Attendance!AA38</f>
        <v>P</v>
      </c>
      <c r="AB38" s="22" t="str">
        <f>Attendance!AB38</f>
        <v>P</v>
      </c>
      <c r="AC38" s="22" t="str">
        <f>Attendance!AC38</f>
        <v>P</v>
      </c>
      <c r="AD38" s="22" t="str">
        <f>Attendance!AD38</f>
        <v>P</v>
      </c>
      <c r="AE38" s="13">
        <f>Attendance!AI38/Attendance!AH38</f>
        <v>589.28</v>
      </c>
      <c r="AF38" s="13">
        <f>(COUNTIF(C38:AD38,"P")+COUNTIF(C38:AD38,"H"))</f>
        <v>25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0</v>
      </c>
      <c r="AX38" s="23">
        <v>0</v>
      </c>
      <c r="AY38" s="23">
        <v>0</v>
      </c>
      <c r="AZ38" s="23">
        <v>0</v>
      </c>
      <c r="BA38" s="23">
        <v>0</v>
      </c>
      <c r="BB38" s="23">
        <v>0</v>
      </c>
      <c r="BC38" s="23">
        <v>0</v>
      </c>
      <c r="BD38" s="23">
        <f>AE38*AF38</f>
        <v>14732</v>
      </c>
      <c r="BE38" s="23">
        <f>ROUND(SUM(AG38:BD38),0)</f>
        <v>14732</v>
      </c>
    </row>
    <row r="39" spans="1:57" ht="17.100000000000001" customHeight="1" x14ac:dyDescent="0.35">
      <c r="A39" s="24">
        <v>36</v>
      </c>
      <c r="B39" s="21" t="str">
        <f>Attendance!B39</f>
        <v>Neeli Srivani</v>
      </c>
      <c r="C39" s="22" t="str">
        <f>Attendance!C39</f>
        <v>H</v>
      </c>
      <c r="D39" s="22" t="str">
        <f>Attendance!D39</f>
        <v>P</v>
      </c>
      <c r="E39" s="22" t="str">
        <f>Attendance!E39</f>
        <v>P</v>
      </c>
      <c r="F39" s="22" t="str">
        <f>Attendance!F39</f>
        <v>P</v>
      </c>
      <c r="G39" s="22" t="str">
        <f>Attendance!G39</f>
        <v>P</v>
      </c>
      <c r="H39" s="22" t="str">
        <f>Attendance!H39</f>
        <v>P</v>
      </c>
      <c r="I39" s="22" t="str">
        <f>Attendance!I39</f>
        <v>P</v>
      </c>
      <c r="J39" s="22" t="str">
        <f>Attendance!J39</f>
        <v>H</v>
      </c>
      <c r="K39" s="22" t="str">
        <f>Attendance!K39</f>
        <v>P</v>
      </c>
      <c r="L39" s="22" t="str">
        <f>Attendance!L39</f>
        <v>P</v>
      </c>
      <c r="M39" s="22" t="str">
        <f>Attendance!M39</f>
        <v>P</v>
      </c>
      <c r="N39" s="22" t="str">
        <f>Attendance!N39</f>
        <v>P</v>
      </c>
      <c r="O39" s="22" t="str">
        <f>Attendance!O39</f>
        <v>P</v>
      </c>
      <c r="P39" s="22" t="str">
        <f>Attendance!P39</f>
        <v>P</v>
      </c>
      <c r="Q39" s="22" t="str">
        <f>Attendance!Q39</f>
        <v>H</v>
      </c>
      <c r="R39" s="22" t="str">
        <f>Attendance!R39</f>
        <v>L</v>
      </c>
      <c r="S39" s="22" t="str">
        <f>Attendance!S39</f>
        <v>L</v>
      </c>
      <c r="T39" s="22" t="str">
        <f>Attendance!T39</f>
        <v>P</v>
      </c>
      <c r="U39" s="22" t="str">
        <f>Attendance!U39</f>
        <v>P</v>
      </c>
      <c r="V39" s="22" t="str">
        <f>Attendance!V39</f>
        <v>P</v>
      </c>
      <c r="W39" s="22" t="str">
        <f>Attendance!W39</f>
        <v>P</v>
      </c>
      <c r="X39" s="22" t="str">
        <f>Attendance!X39</f>
        <v>H</v>
      </c>
      <c r="Y39" s="22" t="str">
        <f>Attendance!Y39</f>
        <v>P</v>
      </c>
      <c r="Z39" s="22" t="str">
        <f>Attendance!Z39</f>
        <v>P</v>
      </c>
      <c r="AA39" s="22" t="str">
        <f>Attendance!AA39</f>
        <v>P</v>
      </c>
      <c r="AB39" s="22" t="str">
        <f>Attendance!AB39</f>
        <v>P</v>
      </c>
      <c r="AC39" s="22" t="str">
        <f>Attendance!AC39</f>
        <v>P</v>
      </c>
      <c r="AD39" s="22" t="str">
        <f>Attendance!AD39</f>
        <v>P</v>
      </c>
      <c r="AE39" s="13">
        <f>Attendance!AI39/Attendance!AH39</f>
        <v>589.26923076923072</v>
      </c>
      <c r="AF39" s="13">
        <f>(COUNTIF(C39:AD39,"P")+COUNTIF(C39:AD39,"H"))</f>
        <v>26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3">
        <v>0</v>
      </c>
      <c r="AM39" s="23">
        <v>0</v>
      </c>
      <c r="AN39" s="23">
        <v>0</v>
      </c>
      <c r="AO39" s="23">
        <v>0</v>
      </c>
      <c r="AP39" s="23">
        <v>0</v>
      </c>
      <c r="AQ39" s="23">
        <v>0</v>
      </c>
      <c r="AR39" s="23">
        <v>0</v>
      </c>
      <c r="AS39" s="23">
        <v>0</v>
      </c>
      <c r="AT39" s="23">
        <v>0</v>
      </c>
      <c r="AU39" s="23">
        <v>0</v>
      </c>
      <c r="AV39" s="23">
        <v>0</v>
      </c>
      <c r="AW39" s="23">
        <v>0</v>
      </c>
      <c r="AX39" s="23">
        <v>0</v>
      </c>
      <c r="AY39" s="23">
        <v>0</v>
      </c>
      <c r="AZ39" s="23">
        <v>0</v>
      </c>
      <c r="BA39" s="23">
        <v>0</v>
      </c>
      <c r="BB39" s="23">
        <v>0</v>
      </c>
      <c r="BC39" s="23">
        <v>0</v>
      </c>
      <c r="BD39" s="23">
        <f>AE39*AF39</f>
        <v>15320.999999999998</v>
      </c>
      <c r="BE39" s="23">
        <f>ROUND(SUM(AG39:BD39),0)</f>
        <v>15321</v>
      </c>
    </row>
    <row r="40" spans="1:57" ht="17.100000000000001" customHeight="1" x14ac:dyDescent="0.35">
      <c r="A40" s="20">
        <v>37</v>
      </c>
      <c r="B40" s="21" t="str">
        <f>Attendance!B40</f>
        <v>Padira Radhika</v>
      </c>
      <c r="C40" s="22" t="str">
        <f>Attendance!C40</f>
        <v>H</v>
      </c>
      <c r="D40" s="22" t="str">
        <f>Attendance!D40</f>
        <v>P</v>
      </c>
      <c r="E40" s="22" t="str">
        <f>Attendance!E40</f>
        <v>P</v>
      </c>
      <c r="F40" s="22" t="str">
        <f>Attendance!F40</f>
        <v>P</v>
      </c>
      <c r="G40" s="22" t="str">
        <f>Attendance!G40</f>
        <v>P</v>
      </c>
      <c r="H40" s="22" t="str">
        <f>Attendance!H40</f>
        <v>P</v>
      </c>
      <c r="I40" s="22" t="str">
        <f>Attendance!I40</f>
        <v>P</v>
      </c>
      <c r="J40" s="22" t="str">
        <f>Attendance!J40</f>
        <v>H</v>
      </c>
      <c r="K40" s="22" t="str">
        <f>Attendance!K40</f>
        <v>P</v>
      </c>
      <c r="L40" s="22" t="str">
        <f>Attendance!L40</f>
        <v>P</v>
      </c>
      <c r="M40" s="22" t="str">
        <f>Attendance!M40</f>
        <v>P</v>
      </c>
      <c r="N40" s="22" t="str">
        <f>Attendance!N40</f>
        <v>P</v>
      </c>
      <c r="O40" s="22" t="str">
        <f>Attendance!O40</f>
        <v>P</v>
      </c>
      <c r="P40" s="22" t="str">
        <f>Attendance!P40</f>
        <v>P</v>
      </c>
      <c r="Q40" s="22" t="str">
        <f>Attendance!Q40</f>
        <v>H</v>
      </c>
      <c r="R40" s="22" t="str">
        <f>Attendance!R40</f>
        <v>P</v>
      </c>
      <c r="S40" s="22" t="str">
        <f>Attendance!S40</f>
        <v>P</v>
      </c>
      <c r="T40" s="22" t="str">
        <f>Attendance!T40</f>
        <v>P</v>
      </c>
      <c r="U40" s="22" t="str">
        <f>Attendance!U40</f>
        <v>P</v>
      </c>
      <c r="V40" s="22" t="str">
        <f>Attendance!V40</f>
        <v>P</v>
      </c>
      <c r="W40" s="22" t="str">
        <f>Attendance!W40</f>
        <v>P</v>
      </c>
      <c r="X40" s="22" t="str">
        <f>Attendance!X40</f>
        <v>H</v>
      </c>
      <c r="Y40" s="22" t="str">
        <f>Attendance!Y40</f>
        <v>P</v>
      </c>
      <c r="Z40" s="22" t="str">
        <f>Attendance!Z40</f>
        <v>P</v>
      </c>
      <c r="AA40" s="22" t="str">
        <f>Attendance!AA40</f>
        <v>P</v>
      </c>
      <c r="AB40" s="22" t="str">
        <f>Attendance!AB40</f>
        <v>P</v>
      </c>
      <c r="AC40" s="22" t="str">
        <f>Attendance!AC40</f>
        <v>P</v>
      </c>
      <c r="AD40" s="22" t="str">
        <f>Attendance!AD40</f>
        <v>P</v>
      </c>
      <c r="AE40" s="13">
        <f>Attendance!AI40/Attendance!AH40</f>
        <v>589.28571428571433</v>
      </c>
      <c r="AF40" s="13">
        <f>(COUNTIF(C40:AD40,"P")+COUNTIF(C40:AD40,"H"))</f>
        <v>28</v>
      </c>
      <c r="AG40" s="23">
        <v>0</v>
      </c>
      <c r="AH40" s="23">
        <v>0</v>
      </c>
      <c r="AI40" s="23">
        <v>0</v>
      </c>
      <c r="AJ40" s="23">
        <v>0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0</v>
      </c>
      <c r="AQ40" s="23">
        <v>0</v>
      </c>
      <c r="AR40" s="23">
        <v>0</v>
      </c>
      <c r="AS40" s="23">
        <v>0</v>
      </c>
      <c r="AT40" s="23">
        <v>0</v>
      </c>
      <c r="AU40" s="23">
        <v>0</v>
      </c>
      <c r="AV40" s="23">
        <v>0</v>
      </c>
      <c r="AW40" s="23">
        <v>0</v>
      </c>
      <c r="AX40" s="23">
        <v>0</v>
      </c>
      <c r="AY40" s="23">
        <v>0</v>
      </c>
      <c r="AZ40" s="23">
        <v>0</v>
      </c>
      <c r="BA40" s="23">
        <v>0</v>
      </c>
      <c r="BB40" s="23">
        <v>0</v>
      </c>
      <c r="BC40" s="23">
        <v>0</v>
      </c>
      <c r="BD40" s="23">
        <f>AE40*AF40</f>
        <v>16500</v>
      </c>
      <c r="BE40" s="23">
        <f>ROUND(SUM(AG40:BD40),0)</f>
        <v>16500</v>
      </c>
    </row>
    <row r="41" spans="1:57" ht="17.100000000000001" customHeight="1" x14ac:dyDescent="0.35">
      <c r="A41" s="24">
        <v>38</v>
      </c>
      <c r="B41" s="21" t="str">
        <f>Attendance!B41</f>
        <v>Pandiri Punith kumar</v>
      </c>
      <c r="C41" s="22" t="str">
        <f>Attendance!C41</f>
        <v>H</v>
      </c>
      <c r="D41" s="22" t="str">
        <f>Attendance!D41</f>
        <v>P</v>
      </c>
      <c r="E41" s="22" t="str">
        <f>Attendance!E41</f>
        <v>P</v>
      </c>
      <c r="F41" s="22" t="str">
        <f>Attendance!F41</f>
        <v>P</v>
      </c>
      <c r="G41" s="22" t="str">
        <f>Attendance!G41</f>
        <v>P</v>
      </c>
      <c r="H41" s="22" t="str">
        <f>Attendance!H41</f>
        <v>P</v>
      </c>
      <c r="I41" s="22" t="str">
        <f>Attendance!I41</f>
        <v>P</v>
      </c>
      <c r="J41" s="22" t="str">
        <f>Attendance!J41</f>
        <v>H</v>
      </c>
      <c r="K41" s="22" t="str">
        <f>Attendance!K41</f>
        <v>P</v>
      </c>
      <c r="L41" s="22" t="str">
        <f>Attendance!L41</f>
        <v>P</v>
      </c>
      <c r="M41" s="22" t="str">
        <f>Attendance!M41</f>
        <v>P</v>
      </c>
      <c r="N41" s="22" t="str">
        <f>Attendance!N41</f>
        <v>P</v>
      </c>
      <c r="O41" s="22" t="str">
        <f>Attendance!O41</f>
        <v>P</v>
      </c>
      <c r="P41" s="22" t="str">
        <f>Attendance!P41</f>
        <v>P</v>
      </c>
      <c r="Q41" s="22" t="str">
        <f>Attendance!Q41</f>
        <v>H</v>
      </c>
      <c r="R41" s="22" t="str">
        <f>Attendance!R41</f>
        <v>P</v>
      </c>
      <c r="S41" s="22" t="str">
        <f>Attendance!S41</f>
        <v>P</v>
      </c>
      <c r="T41" s="22" t="str">
        <f>Attendance!T41</f>
        <v>P</v>
      </c>
      <c r="U41" s="22" t="str">
        <f>Attendance!U41</f>
        <v>P</v>
      </c>
      <c r="V41" s="22" t="str">
        <f>Attendance!V41</f>
        <v>P</v>
      </c>
      <c r="W41" s="22" t="str">
        <f>Attendance!W41</f>
        <v>P</v>
      </c>
      <c r="X41" s="22" t="str">
        <f>Attendance!X41</f>
        <v>H</v>
      </c>
      <c r="Y41" s="22" t="str">
        <f>Attendance!Y41</f>
        <v>P</v>
      </c>
      <c r="Z41" s="22" t="str">
        <f>Attendance!Z41</f>
        <v>P</v>
      </c>
      <c r="AA41" s="22" t="str">
        <f>Attendance!AA41</f>
        <v>P</v>
      </c>
      <c r="AB41" s="22" t="str">
        <f>Attendance!AB41</f>
        <v>P</v>
      </c>
      <c r="AC41" s="22" t="str">
        <f>Attendance!AC41</f>
        <v>P</v>
      </c>
      <c r="AD41" s="22" t="str">
        <f>Attendance!AD41</f>
        <v>P</v>
      </c>
      <c r="AE41" s="13">
        <f>Attendance!AI41/Attendance!AH41</f>
        <v>589.28571428571433</v>
      </c>
      <c r="AF41" s="13">
        <f>(COUNTIF(C41:AD41,"P")+COUNTIF(C41:AD41,"H"))</f>
        <v>28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3">
        <v>0</v>
      </c>
      <c r="AV41" s="23">
        <v>0</v>
      </c>
      <c r="AW41" s="23">
        <v>0</v>
      </c>
      <c r="AX41" s="23">
        <v>0</v>
      </c>
      <c r="AY41" s="23">
        <v>0</v>
      </c>
      <c r="AZ41" s="23">
        <v>0</v>
      </c>
      <c r="BA41" s="23">
        <v>0</v>
      </c>
      <c r="BB41" s="23">
        <v>0</v>
      </c>
      <c r="BC41" s="23">
        <v>0</v>
      </c>
      <c r="BD41" s="23">
        <f>AE41*AF41</f>
        <v>16500</v>
      </c>
      <c r="BE41" s="23">
        <f>ROUND(SUM(AG41:BD41),0)</f>
        <v>16500</v>
      </c>
    </row>
    <row r="42" spans="1:57" ht="17.100000000000001" customHeight="1" x14ac:dyDescent="0.35">
      <c r="A42" s="20">
        <v>39</v>
      </c>
      <c r="B42" s="21" t="str">
        <f>Attendance!B42</f>
        <v>Poojari Ramu</v>
      </c>
      <c r="C42" s="22" t="str">
        <f>Attendance!C42</f>
        <v>H</v>
      </c>
      <c r="D42" s="22" t="str">
        <f>Attendance!D42</f>
        <v>L</v>
      </c>
      <c r="E42" s="22" t="str">
        <f>Attendance!E42</f>
        <v>P</v>
      </c>
      <c r="F42" s="22" t="str">
        <f>Attendance!F42</f>
        <v>P</v>
      </c>
      <c r="G42" s="22" t="str">
        <f>Attendance!G42</f>
        <v>P</v>
      </c>
      <c r="H42" s="22" t="str">
        <f>Attendance!H42</f>
        <v>P</v>
      </c>
      <c r="I42" s="22" t="str">
        <f>Attendance!I42</f>
        <v>P</v>
      </c>
      <c r="J42" s="22" t="str">
        <f>Attendance!J42</f>
        <v>H</v>
      </c>
      <c r="K42" s="22" t="str">
        <f>Attendance!K42</f>
        <v>L</v>
      </c>
      <c r="L42" s="22" t="str">
        <f>Attendance!L42</f>
        <v>P</v>
      </c>
      <c r="M42" s="22" t="str">
        <f>Attendance!M42</f>
        <v>P</v>
      </c>
      <c r="N42" s="22" t="str">
        <f>Attendance!N42</f>
        <v>P</v>
      </c>
      <c r="O42" s="22" t="str">
        <f>Attendance!O42</f>
        <v>P</v>
      </c>
      <c r="P42" s="22" t="str">
        <f>Attendance!P42</f>
        <v>P</v>
      </c>
      <c r="Q42" s="22" t="str">
        <f>Attendance!Q42</f>
        <v>H</v>
      </c>
      <c r="R42" s="22" t="str">
        <f>Attendance!R42</f>
        <v>L</v>
      </c>
      <c r="S42" s="22" t="str">
        <f>Attendance!S42</f>
        <v>L</v>
      </c>
      <c r="T42" s="22" t="str">
        <f>Attendance!T42</f>
        <v>P</v>
      </c>
      <c r="U42" s="22" t="str">
        <f>Attendance!U42</f>
        <v>P</v>
      </c>
      <c r="V42" s="22" t="str">
        <f>Attendance!V42</f>
        <v>P</v>
      </c>
      <c r="W42" s="22" t="str">
        <f>Attendance!W42</f>
        <v>P</v>
      </c>
      <c r="X42" s="22" t="str">
        <f>Attendance!X42</f>
        <v>H</v>
      </c>
      <c r="Y42" s="22" t="str">
        <f>Attendance!Y42</f>
        <v>P</v>
      </c>
      <c r="Z42" s="22" t="str">
        <f>Attendance!Z42</f>
        <v>P</v>
      </c>
      <c r="AA42" s="22" t="str">
        <f>Attendance!AA42</f>
        <v>P</v>
      </c>
      <c r="AB42" s="22" t="str">
        <f>Attendance!AB42</f>
        <v>P</v>
      </c>
      <c r="AC42" s="22" t="str">
        <f>Attendance!AC42</f>
        <v>P</v>
      </c>
      <c r="AD42" s="22" t="str">
        <f>Attendance!AD42</f>
        <v>P</v>
      </c>
      <c r="AE42" s="13">
        <f>Attendance!AI42/Attendance!AH42</f>
        <v>589.29166666666663</v>
      </c>
      <c r="AF42" s="13">
        <f>(COUNTIF(C42:AD42,"P")+COUNTIF(C42:AD42,"H"))</f>
        <v>24</v>
      </c>
      <c r="AG42" s="23">
        <v>0</v>
      </c>
      <c r="AH42" s="23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0</v>
      </c>
      <c r="AU42" s="23">
        <v>0</v>
      </c>
      <c r="AV42" s="23">
        <v>0</v>
      </c>
      <c r="AW42" s="23">
        <v>0</v>
      </c>
      <c r="AX42" s="23">
        <v>0</v>
      </c>
      <c r="AY42" s="23">
        <v>0</v>
      </c>
      <c r="AZ42" s="23">
        <v>0</v>
      </c>
      <c r="BA42" s="23">
        <v>0</v>
      </c>
      <c r="BB42" s="23">
        <v>0</v>
      </c>
      <c r="BC42" s="23">
        <v>0</v>
      </c>
      <c r="BD42" s="23">
        <f>AE42*AF42</f>
        <v>14143</v>
      </c>
      <c r="BE42" s="23">
        <f>ROUND(SUM(AG42:BD42),0)</f>
        <v>14143</v>
      </c>
    </row>
    <row r="43" spans="1:57" ht="17.100000000000001" customHeight="1" x14ac:dyDescent="0.35">
      <c r="A43" s="24">
        <v>40</v>
      </c>
      <c r="B43" s="21" t="str">
        <f>Attendance!B43</f>
        <v>Porandla Chandar</v>
      </c>
      <c r="C43" s="22" t="str">
        <f>Attendance!C43</f>
        <v>H</v>
      </c>
      <c r="D43" s="22" t="str">
        <f>Attendance!D43</f>
        <v>P</v>
      </c>
      <c r="E43" s="22" t="str">
        <f>Attendance!E43</f>
        <v>P</v>
      </c>
      <c r="F43" s="22" t="str">
        <f>Attendance!F43</f>
        <v>P</v>
      </c>
      <c r="G43" s="22" t="str">
        <f>Attendance!G43</f>
        <v>P</v>
      </c>
      <c r="H43" s="22" t="str">
        <f>Attendance!H43</f>
        <v>P</v>
      </c>
      <c r="I43" s="22" t="str">
        <f>Attendance!I43</f>
        <v>P</v>
      </c>
      <c r="J43" s="22" t="str">
        <f>Attendance!J43</f>
        <v>H</v>
      </c>
      <c r="K43" s="22" t="str">
        <f>Attendance!K43</f>
        <v>P</v>
      </c>
      <c r="L43" s="22" t="str">
        <f>Attendance!L43</f>
        <v>P</v>
      </c>
      <c r="M43" s="22" t="str">
        <f>Attendance!M43</f>
        <v>L</v>
      </c>
      <c r="N43" s="22" t="str">
        <f>Attendance!N43</f>
        <v>P</v>
      </c>
      <c r="O43" s="22" t="str">
        <f>Attendance!O43</f>
        <v>P</v>
      </c>
      <c r="P43" s="22" t="str">
        <f>Attendance!P43</f>
        <v>P</v>
      </c>
      <c r="Q43" s="22" t="str">
        <f>Attendance!Q43</f>
        <v>H</v>
      </c>
      <c r="R43" s="22" t="str">
        <f>Attendance!R43</f>
        <v>P</v>
      </c>
      <c r="S43" s="22" t="str">
        <f>Attendance!S43</f>
        <v>P</v>
      </c>
      <c r="T43" s="22" t="str">
        <f>Attendance!T43</f>
        <v>P</v>
      </c>
      <c r="U43" s="22" t="str">
        <f>Attendance!U43</f>
        <v>P</v>
      </c>
      <c r="V43" s="22" t="str">
        <f>Attendance!V43</f>
        <v>P</v>
      </c>
      <c r="W43" s="22" t="str">
        <f>Attendance!W43</f>
        <v>P</v>
      </c>
      <c r="X43" s="22" t="str">
        <f>Attendance!X43</f>
        <v>H</v>
      </c>
      <c r="Y43" s="22" t="str">
        <f>Attendance!Y43</f>
        <v>P</v>
      </c>
      <c r="Z43" s="22" t="str">
        <f>Attendance!Z43</f>
        <v>P</v>
      </c>
      <c r="AA43" s="22" t="str">
        <f>Attendance!AA43</f>
        <v>P</v>
      </c>
      <c r="AB43" s="22" t="str">
        <f>Attendance!AB43</f>
        <v>P</v>
      </c>
      <c r="AC43" s="22" t="str">
        <f>Attendance!AC43</f>
        <v>P</v>
      </c>
      <c r="AD43" s="22" t="str">
        <f>Attendance!AD43</f>
        <v>P</v>
      </c>
      <c r="AE43" s="13">
        <f>Attendance!AI43/Attendance!AH43</f>
        <v>589.2962962962963</v>
      </c>
      <c r="AF43" s="13">
        <f>(COUNTIF(C43:AD43,"P")+COUNTIF(C43:AD43,"H"))</f>
        <v>27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3">
        <v>0</v>
      </c>
      <c r="AY43" s="23">
        <v>0</v>
      </c>
      <c r="AZ43" s="23">
        <v>0</v>
      </c>
      <c r="BA43" s="23">
        <v>0</v>
      </c>
      <c r="BB43" s="23">
        <v>0</v>
      </c>
      <c r="BC43" s="23">
        <v>0</v>
      </c>
      <c r="BD43" s="23">
        <f>AE43*AF43</f>
        <v>15911</v>
      </c>
      <c r="BE43" s="23">
        <f>ROUND(SUM(AG43:BD43),0)</f>
        <v>15911</v>
      </c>
    </row>
    <row r="44" spans="1:57" ht="17.100000000000001" customHeight="1" x14ac:dyDescent="0.35">
      <c r="A44" s="20">
        <v>41</v>
      </c>
      <c r="B44" s="21" t="str">
        <f>Attendance!B44</f>
        <v>Ramavath Saimahesh Nayak</v>
      </c>
      <c r="C44" s="22" t="str">
        <f>Attendance!C44</f>
        <v>H</v>
      </c>
      <c r="D44" s="22" t="str">
        <f>Attendance!D44</f>
        <v>P</v>
      </c>
      <c r="E44" s="22" t="str">
        <f>Attendance!E44</f>
        <v>P</v>
      </c>
      <c r="F44" s="22" t="str">
        <f>Attendance!F44</f>
        <v>P</v>
      </c>
      <c r="G44" s="22" t="str">
        <f>Attendance!G44</f>
        <v>P</v>
      </c>
      <c r="H44" s="22" t="str">
        <f>Attendance!H44</f>
        <v>P</v>
      </c>
      <c r="I44" s="22" t="str">
        <f>Attendance!I44</f>
        <v>P</v>
      </c>
      <c r="J44" s="22" t="str">
        <f>Attendance!J44</f>
        <v>H</v>
      </c>
      <c r="K44" s="22" t="str">
        <f>Attendance!K44</f>
        <v>L</v>
      </c>
      <c r="L44" s="22" t="str">
        <f>Attendance!L44</f>
        <v>P</v>
      </c>
      <c r="M44" s="22" t="str">
        <f>Attendance!M44</f>
        <v>P</v>
      </c>
      <c r="N44" s="22" t="str">
        <f>Attendance!N44</f>
        <v>P</v>
      </c>
      <c r="O44" s="22" t="str">
        <f>Attendance!O44</f>
        <v>P</v>
      </c>
      <c r="P44" s="22" t="str">
        <f>Attendance!P44</f>
        <v>P</v>
      </c>
      <c r="Q44" s="22" t="str">
        <f>Attendance!Q44</f>
        <v>H</v>
      </c>
      <c r="R44" s="22" t="str">
        <f>Attendance!R44</f>
        <v>P</v>
      </c>
      <c r="S44" s="22" t="str">
        <f>Attendance!S44</f>
        <v>P</v>
      </c>
      <c r="T44" s="22" t="str">
        <f>Attendance!T44</f>
        <v>P</v>
      </c>
      <c r="U44" s="22" t="str">
        <f>Attendance!U44</f>
        <v>P</v>
      </c>
      <c r="V44" s="22" t="str">
        <f>Attendance!V44</f>
        <v>P</v>
      </c>
      <c r="W44" s="22" t="str">
        <f>Attendance!W44</f>
        <v>P</v>
      </c>
      <c r="X44" s="22" t="str">
        <f>Attendance!X44</f>
        <v>H</v>
      </c>
      <c r="Y44" s="22" t="str">
        <f>Attendance!Y44</f>
        <v>P</v>
      </c>
      <c r="Z44" s="22" t="str">
        <f>Attendance!Z44</f>
        <v>P</v>
      </c>
      <c r="AA44" s="22" t="str">
        <f>Attendance!AA44</f>
        <v>P</v>
      </c>
      <c r="AB44" s="22" t="str">
        <f>Attendance!AB44</f>
        <v>P</v>
      </c>
      <c r="AC44" s="22" t="str">
        <f>Attendance!AC44</f>
        <v>P</v>
      </c>
      <c r="AD44" s="22" t="str">
        <f>Attendance!AD44</f>
        <v>P</v>
      </c>
      <c r="AE44" s="13">
        <f>Attendance!AI44/Attendance!AH44</f>
        <v>589.2962962962963</v>
      </c>
      <c r="AF44" s="13">
        <f>(COUNTIF(C44:AD44,"P")+COUNTIF(C44:AD44,"H"))</f>
        <v>27</v>
      </c>
      <c r="AG44" s="23">
        <v>0</v>
      </c>
      <c r="AH44" s="23">
        <v>0</v>
      </c>
      <c r="AI44" s="23">
        <v>0</v>
      </c>
      <c r="AJ44" s="23">
        <v>0</v>
      </c>
      <c r="AK44" s="23">
        <v>0</v>
      </c>
      <c r="AL44" s="23">
        <v>0</v>
      </c>
      <c r="AM44" s="23">
        <v>0</v>
      </c>
      <c r="AN44" s="23">
        <v>0</v>
      </c>
      <c r="AO44" s="23">
        <v>0</v>
      </c>
      <c r="AP44" s="23">
        <v>0</v>
      </c>
      <c r="AQ44" s="23">
        <v>0</v>
      </c>
      <c r="AR44" s="23">
        <v>0</v>
      </c>
      <c r="AS44" s="23">
        <v>0</v>
      </c>
      <c r="AT44" s="23">
        <v>0</v>
      </c>
      <c r="AU44" s="23">
        <v>0</v>
      </c>
      <c r="AV44" s="23">
        <v>0</v>
      </c>
      <c r="AW44" s="23">
        <v>0</v>
      </c>
      <c r="AX44" s="23">
        <v>0</v>
      </c>
      <c r="AY44" s="23">
        <v>0</v>
      </c>
      <c r="AZ44" s="23">
        <v>0</v>
      </c>
      <c r="BA44" s="23">
        <v>0</v>
      </c>
      <c r="BB44" s="23">
        <v>0</v>
      </c>
      <c r="BC44" s="23">
        <v>0</v>
      </c>
      <c r="BD44" s="23">
        <f>AE44*AF44</f>
        <v>15911</v>
      </c>
      <c r="BE44" s="23">
        <f>ROUND(SUM(AG44:BD44),0)</f>
        <v>15911</v>
      </c>
    </row>
    <row r="45" spans="1:57" ht="17.100000000000001" customHeight="1" x14ac:dyDescent="0.35">
      <c r="A45" s="20">
        <v>42</v>
      </c>
      <c r="B45" s="21" t="str">
        <f>Attendance!B45</f>
        <v>Ramavath Uma Mahesh</v>
      </c>
      <c r="C45" s="22" t="str">
        <f>Attendance!C45</f>
        <v>H</v>
      </c>
      <c r="D45" s="22" t="str">
        <f>Attendance!D45</f>
        <v>P</v>
      </c>
      <c r="E45" s="22" t="str">
        <f>Attendance!E45</f>
        <v>P</v>
      </c>
      <c r="F45" s="22" t="str">
        <f>Attendance!F45</f>
        <v>P</v>
      </c>
      <c r="G45" s="22" t="str">
        <f>Attendance!G45</f>
        <v>P</v>
      </c>
      <c r="H45" s="22" t="str">
        <f>Attendance!H45</f>
        <v>P</v>
      </c>
      <c r="I45" s="22" t="str">
        <f>Attendance!I45</f>
        <v>P</v>
      </c>
      <c r="J45" s="22" t="str">
        <f>Attendance!J45</f>
        <v>H</v>
      </c>
      <c r="K45" s="22" t="str">
        <f>Attendance!K45</f>
        <v>P</v>
      </c>
      <c r="L45" s="22" t="str">
        <f>Attendance!L45</f>
        <v>P</v>
      </c>
      <c r="M45" s="22" t="str">
        <f>Attendance!M45</f>
        <v>P</v>
      </c>
      <c r="N45" s="22" t="str">
        <f>Attendance!N45</f>
        <v>P</v>
      </c>
      <c r="O45" s="22" t="str">
        <f>Attendance!O45</f>
        <v>P</v>
      </c>
      <c r="P45" s="22" t="str">
        <f>Attendance!P45</f>
        <v>P</v>
      </c>
      <c r="Q45" s="22" t="str">
        <f>Attendance!Q45</f>
        <v>H</v>
      </c>
      <c r="R45" s="22" t="str">
        <f>Attendance!R45</f>
        <v>P</v>
      </c>
      <c r="S45" s="22" t="str">
        <f>Attendance!S45</f>
        <v>P</v>
      </c>
      <c r="T45" s="22" t="str">
        <f>Attendance!T45</f>
        <v>P</v>
      </c>
      <c r="U45" s="22" t="str">
        <f>Attendance!U45</f>
        <v>P</v>
      </c>
      <c r="V45" s="22" t="str">
        <f>Attendance!V45</f>
        <v>P</v>
      </c>
      <c r="W45" s="22" t="str">
        <f>Attendance!W45</f>
        <v>P</v>
      </c>
      <c r="X45" s="22" t="str">
        <f>Attendance!X45</f>
        <v>H</v>
      </c>
      <c r="Y45" s="22" t="str">
        <f>Attendance!Y45</f>
        <v>P</v>
      </c>
      <c r="Z45" s="22" t="str">
        <f>Attendance!Z45</f>
        <v>P</v>
      </c>
      <c r="AA45" s="22" t="str">
        <f>Attendance!AA45</f>
        <v>P</v>
      </c>
      <c r="AB45" s="22" t="str">
        <f>Attendance!AB45</f>
        <v>P</v>
      </c>
      <c r="AC45" s="22" t="str">
        <f>Attendance!AC45</f>
        <v>P</v>
      </c>
      <c r="AD45" s="22" t="str">
        <f>Attendance!AD45</f>
        <v>P</v>
      </c>
      <c r="AE45" s="13">
        <f>Attendance!AI45/Attendance!AH45</f>
        <v>589.28571428571433</v>
      </c>
      <c r="AF45" s="13">
        <f>(COUNTIF(C45:AD45,"P")+COUNTIF(C45:AD45,"H"))</f>
        <v>28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0</v>
      </c>
      <c r="AV45" s="23">
        <v>0</v>
      </c>
      <c r="AW45" s="23">
        <v>0</v>
      </c>
      <c r="AX45" s="23">
        <v>0</v>
      </c>
      <c r="AY45" s="23">
        <v>0</v>
      </c>
      <c r="AZ45" s="23">
        <v>0</v>
      </c>
      <c r="BA45" s="23">
        <v>0</v>
      </c>
      <c r="BB45" s="23">
        <v>0</v>
      </c>
      <c r="BC45" s="23">
        <v>0</v>
      </c>
      <c r="BD45" s="23">
        <f>AE45*AF45</f>
        <v>16500</v>
      </c>
      <c r="BE45" s="23">
        <f>ROUND(SUM(AG45:BD45),0)</f>
        <v>16500</v>
      </c>
    </row>
    <row r="46" spans="1:57" ht="17.100000000000001" customHeight="1" x14ac:dyDescent="0.35">
      <c r="A46" s="20">
        <v>43</v>
      </c>
      <c r="B46" s="21" t="str">
        <f>Attendance!B46</f>
        <v>Ranabotu Saidi Reddy</v>
      </c>
      <c r="C46" s="22" t="str">
        <f>Attendance!C46</f>
        <v>H</v>
      </c>
      <c r="D46" s="22" t="str">
        <f>Attendance!D46</f>
        <v>P</v>
      </c>
      <c r="E46" s="22" t="str">
        <f>Attendance!E46</f>
        <v>P</v>
      </c>
      <c r="F46" s="22" t="str">
        <f>Attendance!F46</f>
        <v>P</v>
      </c>
      <c r="G46" s="22" t="str">
        <f>Attendance!G46</f>
        <v>L</v>
      </c>
      <c r="H46" s="22" t="str">
        <f>Attendance!H46</f>
        <v>L</v>
      </c>
      <c r="I46" s="22" t="str">
        <f>Attendance!I46</f>
        <v>L</v>
      </c>
      <c r="J46" s="22" t="str">
        <f>Attendance!J46</f>
        <v>H</v>
      </c>
      <c r="K46" s="22" t="str">
        <f>Attendance!K46</f>
        <v>L</v>
      </c>
      <c r="L46" s="22" t="str">
        <f>Attendance!L46</f>
        <v>P</v>
      </c>
      <c r="M46" s="22" t="str">
        <f>Attendance!M46</f>
        <v>P</v>
      </c>
      <c r="N46" s="22" t="str">
        <f>Attendance!N46</f>
        <v>P</v>
      </c>
      <c r="O46" s="22" t="str">
        <f>Attendance!O46</f>
        <v>P</v>
      </c>
      <c r="P46" s="22" t="str">
        <f>Attendance!P46</f>
        <v>P</v>
      </c>
      <c r="Q46" s="22" t="str">
        <f>Attendance!Q46</f>
        <v>H</v>
      </c>
      <c r="R46" s="22" t="str">
        <f>Attendance!R46</f>
        <v>P</v>
      </c>
      <c r="S46" s="22" t="str">
        <f>Attendance!S46</f>
        <v>P</v>
      </c>
      <c r="T46" s="22" t="str">
        <f>Attendance!T46</f>
        <v>P</v>
      </c>
      <c r="U46" s="22" t="str">
        <f>Attendance!U46</f>
        <v>P</v>
      </c>
      <c r="V46" s="22" t="str">
        <f>Attendance!V46</f>
        <v>P</v>
      </c>
      <c r="W46" s="22" t="str">
        <f>Attendance!W46</f>
        <v>P</v>
      </c>
      <c r="X46" s="22" t="str">
        <f>Attendance!X46</f>
        <v>H</v>
      </c>
      <c r="Y46" s="22" t="str">
        <f>Attendance!Y46</f>
        <v>P</v>
      </c>
      <c r="Z46" s="22" t="str">
        <f>Attendance!Z46</f>
        <v>P</v>
      </c>
      <c r="AA46" s="22" t="str">
        <f>Attendance!AA46</f>
        <v>P</v>
      </c>
      <c r="AB46" s="22" t="str">
        <f>Attendance!AB46</f>
        <v>P</v>
      </c>
      <c r="AC46" s="22" t="str">
        <f>Attendance!AC46</f>
        <v>P</v>
      </c>
      <c r="AD46" s="22" t="str">
        <f>Attendance!AD46</f>
        <v>P</v>
      </c>
      <c r="AE46" s="13">
        <f>Attendance!AI46/Attendance!AH46</f>
        <v>589.29166666666663</v>
      </c>
      <c r="AF46" s="13">
        <f>(COUNTIF(C46:AD46,"P")+COUNTIF(C46:AD46,"H"))</f>
        <v>24</v>
      </c>
      <c r="AG46" s="23">
        <f>AE46*19</f>
        <v>11196.541666666666</v>
      </c>
      <c r="AH46" s="23">
        <v>0</v>
      </c>
      <c r="AI46" s="23">
        <v>0</v>
      </c>
      <c r="AJ46" s="23">
        <v>0</v>
      </c>
      <c r="AK46" s="23">
        <v>0</v>
      </c>
      <c r="AL46" s="23">
        <f>AE46*5</f>
        <v>2946.458333333333</v>
      </c>
      <c r="AM46" s="23">
        <v>0</v>
      </c>
      <c r="AN46" s="23">
        <v>0</v>
      </c>
      <c r="AO46" s="23">
        <v>0</v>
      </c>
      <c r="AP46" s="23">
        <v>0</v>
      </c>
      <c r="AQ46" s="23">
        <v>0</v>
      </c>
      <c r="AR46" s="23">
        <v>0</v>
      </c>
      <c r="AS46" s="23">
        <v>0</v>
      </c>
      <c r="AT46" s="23">
        <v>0</v>
      </c>
      <c r="AU46" s="23">
        <v>0</v>
      </c>
      <c r="AV46" s="23">
        <v>0</v>
      </c>
      <c r="AW46" s="23">
        <v>0</v>
      </c>
      <c r="AX46" s="23">
        <v>0</v>
      </c>
      <c r="AY46" s="23">
        <v>0</v>
      </c>
      <c r="AZ46" s="23">
        <v>0</v>
      </c>
      <c r="BA46" s="23">
        <v>0</v>
      </c>
      <c r="BB46" s="23">
        <v>0</v>
      </c>
      <c r="BC46" s="23">
        <v>0</v>
      </c>
      <c r="BD46" s="23">
        <v>0</v>
      </c>
      <c r="BE46" s="23">
        <f>ROUND(SUM(AG46:BD46),0)</f>
        <v>14143</v>
      </c>
    </row>
    <row r="47" spans="1:57" ht="17.100000000000001" customHeight="1" x14ac:dyDescent="0.35">
      <c r="A47" s="20">
        <v>44</v>
      </c>
      <c r="B47" s="21" t="str">
        <f>Attendance!B47</f>
        <v>Sadde Sindhura</v>
      </c>
      <c r="C47" s="22" t="str">
        <f>Attendance!C47</f>
        <v>H</v>
      </c>
      <c r="D47" s="22" t="str">
        <f>Attendance!D47</f>
        <v>P</v>
      </c>
      <c r="E47" s="22" t="str">
        <f>Attendance!E47</f>
        <v>L</v>
      </c>
      <c r="F47" s="22" t="str">
        <f>Attendance!F47</f>
        <v>P</v>
      </c>
      <c r="G47" s="22" t="str">
        <f>Attendance!G47</f>
        <v>P</v>
      </c>
      <c r="H47" s="22" t="str">
        <f>Attendance!H47</f>
        <v>P</v>
      </c>
      <c r="I47" s="22" t="str">
        <f>Attendance!I47</f>
        <v>P</v>
      </c>
      <c r="J47" s="22" t="str">
        <f>Attendance!J47</f>
        <v>H</v>
      </c>
      <c r="K47" s="22" t="str">
        <f>Attendance!K47</f>
        <v>P</v>
      </c>
      <c r="L47" s="22" t="str">
        <f>Attendance!L47</f>
        <v>P</v>
      </c>
      <c r="M47" s="22" t="str">
        <f>Attendance!M47</f>
        <v>P</v>
      </c>
      <c r="N47" s="22" t="str">
        <f>Attendance!N47</f>
        <v>P</v>
      </c>
      <c r="O47" s="22" t="str">
        <f>Attendance!O47</f>
        <v>P</v>
      </c>
      <c r="P47" s="22" t="str">
        <f>Attendance!P47</f>
        <v>P</v>
      </c>
      <c r="Q47" s="22" t="str">
        <f>Attendance!Q47</f>
        <v>H</v>
      </c>
      <c r="R47" s="22" t="str">
        <f>Attendance!R47</f>
        <v>L</v>
      </c>
      <c r="S47" s="22" t="str">
        <f>Attendance!S47</f>
        <v>P</v>
      </c>
      <c r="T47" s="22" t="str">
        <f>Attendance!T47</f>
        <v>P</v>
      </c>
      <c r="U47" s="22" t="str">
        <f>Attendance!U47</f>
        <v>P</v>
      </c>
      <c r="V47" s="22" t="str">
        <f>Attendance!V47</f>
        <v>P</v>
      </c>
      <c r="W47" s="22" t="str">
        <f>Attendance!W47</f>
        <v>P</v>
      </c>
      <c r="X47" s="22" t="str">
        <f>Attendance!X47</f>
        <v>H</v>
      </c>
      <c r="Y47" s="22" t="str">
        <f>Attendance!Y47</f>
        <v>P</v>
      </c>
      <c r="Z47" s="22" t="str">
        <f>Attendance!Z47</f>
        <v>P</v>
      </c>
      <c r="AA47" s="22" t="str">
        <f>Attendance!AA47</f>
        <v>P</v>
      </c>
      <c r="AB47" s="22" t="str">
        <f>Attendance!AB47</f>
        <v>P</v>
      </c>
      <c r="AC47" s="22" t="str">
        <f>Attendance!AC47</f>
        <v>P</v>
      </c>
      <c r="AD47" s="22" t="str">
        <f>Attendance!AD47</f>
        <v>P</v>
      </c>
      <c r="AE47" s="13">
        <f>Attendance!AI47/Attendance!AH47</f>
        <v>589.26923076923072</v>
      </c>
      <c r="AF47" s="13">
        <f>(COUNTIF(C47:AD47,"P")+COUNTIF(C47:AD47,"H"))</f>
        <v>26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0</v>
      </c>
      <c r="AT47" s="23">
        <v>0</v>
      </c>
      <c r="AU47" s="23">
        <v>0</v>
      </c>
      <c r="AV47" s="23">
        <v>0</v>
      </c>
      <c r="AW47" s="23">
        <v>0</v>
      </c>
      <c r="AX47" s="23">
        <v>0</v>
      </c>
      <c r="AY47" s="23">
        <v>0</v>
      </c>
      <c r="AZ47" s="23">
        <v>0</v>
      </c>
      <c r="BA47" s="23">
        <v>0</v>
      </c>
      <c r="BB47" s="23">
        <v>0</v>
      </c>
      <c r="BC47" s="23">
        <v>0</v>
      </c>
      <c r="BD47" s="23">
        <f>AE47*AF47</f>
        <v>15320.999999999998</v>
      </c>
      <c r="BE47" s="23">
        <f>ROUND(SUM(AG47:BD47),0)</f>
        <v>15321</v>
      </c>
    </row>
    <row r="48" spans="1:57" ht="17.100000000000001" customHeight="1" x14ac:dyDescent="0.35">
      <c r="A48" s="20">
        <v>45</v>
      </c>
      <c r="B48" s="21" t="str">
        <f>Attendance!B48</f>
        <v>Shaikh abdul Avesh</v>
      </c>
      <c r="C48" s="22" t="str">
        <f>Attendance!C48</f>
        <v>H</v>
      </c>
      <c r="D48" s="22" t="str">
        <f>Attendance!D48</f>
        <v>P</v>
      </c>
      <c r="E48" s="22" t="str">
        <f>Attendance!E48</f>
        <v>P</v>
      </c>
      <c r="F48" s="22" t="str">
        <f>Attendance!F48</f>
        <v>P</v>
      </c>
      <c r="G48" s="22" t="str">
        <f>Attendance!G48</f>
        <v>P</v>
      </c>
      <c r="H48" s="22" t="str">
        <f>Attendance!H48</f>
        <v>P</v>
      </c>
      <c r="I48" s="22" t="str">
        <f>Attendance!I48</f>
        <v>P</v>
      </c>
      <c r="J48" s="22" t="str">
        <f>Attendance!J48</f>
        <v>H</v>
      </c>
      <c r="K48" s="22" t="str">
        <f>Attendance!K48</f>
        <v>P</v>
      </c>
      <c r="L48" s="22" t="str">
        <f>Attendance!L48</f>
        <v>P</v>
      </c>
      <c r="M48" s="22" t="str">
        <f>Attendance!M48</f>
        <v>P</v>
      </c>
      <c r="N48" s="22" t="str">
        <f>Attendance!N48</f>
        <v>P</v>
      </c>
      <c r="O48" s="22" t="str">
        <f>Attendance!O48</f>
        <v>P</v>
      </c>
      <c r="P48" s="22" t="str">
        <f>Attendance!P48</f>
        <v>P</v>
      </c>
      <c r="Q48" s="22" t="str">
        <f>Attendance!Q48</f>
        <v>H</v>
      </c>
      <c r="R48" s="22" t="str">
        <f>Attendance!R48</f>
        <v>P</v>
      </c>
      <c r="S48" s="22" t="str">
        <f>Attendance!S48</f>
        <v>P</v>
      </c>
      <c r="T48" s="22" t="str">
        <f>Attendance!T48</f>
        <v>P</v>
      </c>
      <c r="U48" s="22" t="str">
        <f>Attendance!U48</f>
        <v>P</v>
      </c>
      <c r="V48" s="22" t="str">
        <f>Attendance!V48</f>
        <v>P</v>
      </c>
      <c r="W48" s="22" t="str">
        <f>Attendance!W48</f>
        <v>P</v>
      </c>
      <c r="X48" s="22" t="str">
        <f>Attendance!X48</f>
        <v>H</v>
      </c>
      <c r="Y48" s="22" t="str">
        <f>Attendance!Y48</f>
        <v>P</v>
      </c>
      <c r="Z48" s="22" t="str">
        <f>Attendance!Z48</f>
        <v>P</v>
      </c>
      <c r="AA48" s="22" t="str">
        <f>Attendance!AA48</f>
        <v>P</v>
      </c>
      <c r="AB48" s="22" t="str">
        <f>Attendance!AB48</f>
        <v>P</v>
      </c>
      <c r="AC48" s="22" t="str">
        <f>Attendance!AC48</f>
        <v>P</v>
      </c>
      <c r="AD48" s="22" t="str">
        <f>Attendance!AD48</f>
        <v>P</v>
      </c>
      <c r="AE48" s="13">
        <f>Attendance!AI48/Attendance!AH48</f>
        <v>589.28571428571433</v>
      </c>
      <c r="AF48" s="13">
        <f>(COUNTIF(C48:AD48,"P")+COUNTIF(C48:AD48,"H"))</f>
        <v>28</v>
      </c>
      <c r="AG48" s="23">
        <v>0</v>
      </c>
      <c r="AH48" s="23">
        <v>0</v>
      </c>
      <c r="AI48" s="23">
        <v>0</v>
      </c>
      <c r="AJ48" s="23">
        <v>0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0</v>
      </c>
      <c r="AX48" s="23">
        <v>0</v>
      </c>
      <c r="AY48" s="23">
        <v>0</v>
      </c>
      <c r="AZ48" s="23">
        <v>0</v>
      </c>
      <c r="BA48" s="23">
        <v>0</v>
      </c>
      <c r="BB48" s="23">
        <v>0</v>
      </c>
      <c r="BC48" s="23">
        <v>0</v>
      </c>
      <c r="BD48" s="23">
        <f>AE48*AF48</f>
        <v>16500</v>
      </c>
      <c r="BE48" s="23">
        <f>ROUND(SUM(AG48:BD48),0)</f>
        <v>16500</v>
      </c>
    </row>
    <row r="49" spans="1:57" ht="17.100000000000001" customHeight="1" x14ac:dyDescent="0.35">
      <c r="A49" s="20">
        <v>46</v>
      </c>
      <c r="B49" s="21" t="str">
        <f>Attendance!B49</f>
        <v>Shivarathri Swapna</v>
      </c>
      <c r="C49" s="22" t="str">
        <f>Attendance!C49</f>
        <v>H</v>
      </c>
      <c r="D49" s="22" t="str">
        <f>Attendance!D49</f>
        <v>L</v>
      </c>
      <c r="E49" s="22" t="str">
        <f>Attendance!E49</f>
        <v>P</v>
      </c>
      <c r="F49" s="22" t="str">
        <f>Attendance!F49</f>
        <v>P</v>
      </c>
      <c r="G49" s="22" t="str">
        <f>Attendance!G49</f>
        <v>P</v>
      </c>
      <c r="H49" s="22" t="str">
        <f>Attendance!H49</f>
        <v>P</v>
      </c>
      <c r="I49" s="22" t="str">
        <f>Attendance!I49</f>
        <v>P</v>
      </c>
      <c r="J49" s="22" t="str">
        <f>Attendance!J49</f>
        <v>H</v>
      </c>
      <c r="K49" s="22" t="str">
        <f>Attendance!K49</f>
        <v>P</v>
      </c>
      <c r="L49" s="22" t="str">
        <f>Attendance!L49</f>
        <v>P</v>
      </c>
      <c r="M49" s="22" t="str">
        <f>Attendance!M49</f>
        <v>P</v>
      </c>
      <c r="N49" s="22" t="str">
        <f>Attendance!N49</f>
        <v>P</v>
      </c>
      <c r="O49" s="22" t="str">
        <f>Attendance!O49</f>
        <v>P</v>
      </c>
      <c r="P49" s="22" t="str">
        <f>Attendance!P49</f>
        <v>P</v>
      </c>
      <c r="Q49" s="22" t="str">
        <f>Attendance!Q49</f>
        <v>H</v>
      </c>
      <c r="R49" s="22" t="str">
        <f>Attendance!R49</f>
        <v>L</v>
      </c>
      <c r="S49" s="22" t="str">
        <f>Attendance!S49</f>
        <v>P</v>
      </c>
      <c r="T49" s="22" t="str">
        <f>Attendance!T49</f>
        <v>P</v>
      </c>
      <c r="U49" s="22" t="str">
        <f>Attendance!U49</f>
        <v>P</v>
      </c>
      <c r="V49" s="22" t="str">
        <f>Attendance!V49</f>
        <v>P</v>
      </c>
      <c r="W49" s="22" t="str">
        <f>Attendance!W49</f>
        <v>P</v>
      </c>
      <c r="X49" s="22" t="str">
        <f>Attendance!X49</f>
        <v>H</v>
      </c>
      <c r="Y49" s="22" t="str">
        <f>Attendance!Y49</f>
        <v>P</v>
      </c>
      <c r="Z49" s="22" t="str">
        <f>Attendance!Z49</f>
        <v>P</v>
      </c>
      <c r="AA49" s="22" t="str">
        <f>Attendance!AA49</f>
        <v>P</v>
      </c>
      <c r="AB49" s="22" t="str">
        <f>Attendance!AB49</f>
        <v>P</v>
      </c>
      <c r="AC49" s="22" t="str">
        <f>Attendance!AC49</f>
        <v>P</v>
      </c>
      <c r="AD49" s="22" t="str">
        <f>Attendance!AD49</f>
        <v>P</v>
      </c>
      <c r="AE49" s="13">
        <f>Attendance!AI49/Attendance!AH49</f>
        <v>589.26923076923072</v>
      </c>
      <c r="AF49" s="13">
        <f>(COUNTIF(C49:AD49,"P")+COUNTIF(C49:AD49,"H"))</f>
        <v>26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0</v>
      </c>
      <c r="AX49" s="23">
        <v>0</v>
      </c>
      <c r="AY49" s="23">
        <v>0</v>
      </c>
      <c r="AZ49" s="23">
        <v>0</v>
      </c>
      <c r="BA49" s="23">
        <v>0</v>
      </c>
      <c r="BB49" s="23">
        <v>0</v>
      </c>
      <c r="BC49" s="23">
        <v>0</v>
      </c>
      <c r="BD49" s="23">
        <f>AE49*AF49</f>
        <v>15320.999999999998</v>
      </c>
      <c r="BE49" s="23">
        <f>ROUND(SUM(AG49:BD49),0)</f>
        <v>15321</v>
      </c>
    </row>
    <row r="50" spans="1:57" ht="17.100000000000001" customHeight="1" x14ac:dyDescent="0.35">
      <c r="A50" s="20">
        <v>47</v>
      </c>
      <c r="B50" s="21" t="str">
        <f>Attendance!B50</f>
        <v>Tandra Sabastin</v>
      </c>
      <c r="C50" s="22" t="str">
        <f>Attendance!C50</f>
        <v>H</v>
      </c>
      <c r="D50" s="22" t="str">
        <f>Attendance!D50</f>
        <v>P</v>
      </c>
      <c r="E50" s="22" t="str">
        <f>Attendance!E50</f>
        <v>P</v>
      </c>
      <c r="F50" s="22" t="str">
        <f>Attendance!F50</f>
        <v>P</v>
      </c>
      <c r="G50" s="22" t="str">
        <f>Attendance!G50</f>
        <v>P</v>
      </c>
      <c r="H50" s="22" t="str">
        <f>Attendance!H50</f>
        <v>L</v>
      </c>
      <c r="I50" s="22" t="str">
        <f>Attendance!I50</f>
        <v>P</v>
      </c>
      <c r="J50" s="22" t="str">
        <f>Attendance!J50</f>
        <v>H</v>
      </c>
      <c r="K50" s="22" t="str">
        <f>Attendance!K50</f>
        <v>P</v>
      </c>
      <c r="L50" s="22" t="str">
        <f>Attendance!L50</f>
        <v>P</v>
      </c>
      <c r="M50" s="22" t="str">
        <f>Attendance!M50</f>
        <v>P</v>
      </c>
      <c r="N50" s="22" t="str">
        <f>Attendance!N50</f>
        <v>P</v>
      </c>
      <c r="O50" s="22" t="str">
        <f>Attendance!O50</f>
        <v>P</v>
      </c>
      <c r="P50" s="22" t="str">
        <f>Attendance!P50</f>
        <v>P</v>
      </c>
      <c r="Q50" s="22" t="str">
        <f>Attendance!Q50</f>
        <v>H</v>
      </c>
      <c r="R50" s="22" t="str">
        <f>Attendance!R50</f>
        <v>P</v>
      </c>
      <c r="S50" s="22" t="str">
        <f>Attendance!S50</f>
        <v>P</v>
      </c>
      <c r="T50" s="22" t="str">
        <f>Attendance!T50</f>
        <v>P</v>
      </c>
      <c r="U50" s="22" t="str">
        <f>Attendance!U50</f>
        <v>P</v>
      </c>
      <c r="V50" s="22" t="str">
        <f>Attendance!V50</f>
        <v>P</v>
      </c>
      <c r="W50" s="22" t="str">
        <f>Attendance!W50</f>
        <v>P</v>
      </c>
      <c r="X50" s="22" t="str">
        <f>Attendance!X50</f>
        <v>H</v>
      </c>
      <c r="Y50" s="22" t="str">
        <f>Attendance!Y50</f>
        <v>P</v>
      </c>
      <c r="Z50" s="22" t="str">
        <f>Attendance!Z50</f>
        <v>P</v>
      </c>
      <c r="AA50" s="22" t="str">
        <f>Attendance!AA50</f>
        <v>P</v>
      </c>
      <c r="AB50" s="22" t="str">
        <f>Attendance!AB50</f>
        <v>P</v>
      </c>
      <c r="AC50" s="22" t="str">
        <f>Attendance!AC50</f>
        <v>P</v>
      </c>
      <c r="AD50" s="22" t="str">
        <f>Attendance!AD50</f>
        <v>P</v>
      </c>
      <c r="AE50" s="13">
        <f>Attendance!AI50/Attendance!AH50</f>
        <v>589.2962962962963</v>
      </c>
      <c r="AF50" s="13">
        <f>(COUNTIF(C50:AD50,"P")+COUNTIF(C50:AD50,"H"))</f>
        <v>27</v>
      </c>
      <c r="AG50" s="23">
        <v>0</v>
      </c>
      <c r="AH50" s="23">
        <v>0</v>
      </c>
      <c r="AI50" s="23">
        <v>0</v>
      </c>
      <c r="AJ50" s="23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3">
        <v>0</v>
      </c>
      <c r="AS50" s="23">
        <v>0</v>
      </c>
      <c r="AT50" s="23">
        <v>0</v>
      </c>
      <c r="AU50" s="23">
        <v>0</v>
      </c>
      <c r="AV50" s="23">
        <v>0</v>
      </c>
      <c r="AW50" s="23">
        <v>0</v>
      </c>
      <c r="AX50" s="23">
        <v>0</v>
      </c>
      <c r="AY50" s="23">
        <v>0</v>
      </c>
      <c r="AZ50" s="23">
        <v>0</v>
      </c>
      <c r="BA50" s="23">
        <v>0</v>
      </c>
      <c r="BB50" s="23">
        <v>0</v>
      </c>
      <c r="BC50" s="23">
        <v>0</v>
      </c>
      <c r="BD50" s="23">
        <f>AE50*AF50</f>
        <v>15911</v>
      </c>
      <c r="BE50" s="23">
        <f>ROUND(SUM(AG50:BD50),0)</f>
        <v>15911</v>
      </c>
    </row>
    <row r="51" spans="1:57" ht="17.100000000000001" customHeight="1" x14ac:dyDescent="0.35">
      <c r="A51" s="20">
        <v>48</v>
      </c>
      <c r="B51" s="21" t="str">
        <f>Attendance!B51</f>
        <v>Thabasum Afreen</v>
      </c>
      <c r="C51" s="22" t="str">
        <f>Attendance!C51</f>
        <v>H</v>
      </c>
      <c r="D51" s="22" t="str">
        <f>Attendance!D51</f>
        <v>P</v>
      </c>
      <c r="E51" s="22" t="str">
        <f>Attendance!E51</f>
        <v>P</v>
      </c>
      <c r="F51" s="22" t="str">
        <f>Attendance!F51</f>
        <v>L</v>
      </c>
      <c r="G51" s="22" t="str">
        <f>Attendance!G51</f>
        <v>P</v>
      </c>
      <c r="H51" s="22" t="str">
        <f>Attendance!H51</f>
        <v>P</v>
      </c>
      <c r="I51" s="22" t="str">
        <f>Attendance!I51</f>
        <v>P</v>
      </c>
      <c r="J51" s="22" t="str">
        <f>Attendance!J51</f>
        <v>H</v>
      </c>
      <c r="K51" s="22" t="str">
        <f>Attendance!K51</f>
        <v>P</v>
      </c>
      <c r="L51" s="22" t="str">
        <f>Attendance!L51</f>
        <v>P</v>
      </c>
      <c r="M51" s="22" t="str">
        <f>Attendance!M51</f>
        <v>P</v>
      </c>
      <c r="N51" s="22" t="str">
        <f>Attendance!N51</f>
        <v>P</v>
      </c>
      <c r="O51" s="22" t="str">
        <f>Attendance!O51</f>
        <v>P</v>
      </c>
      <c r="P51" s="22" t="str">
        <f>Attendance!P51</f>
        <v>P</v>
      </c>
      <c r="Q51" s="22" t="str">
        <f>Attendance!Q51</f>
        <v>H</v>
      </c>
      <c r="R51" s="22" t="str">
        <f>Attendance!R51</f>
        <v>P</v>
      </c>
      <c r="S51" s="22" t="str">
        <f>Attendance!S51</f>
        <v>P</v>
      </c>
      <c r="T51" s="22" t="str">
        <f>Attendance!T51</f>
        <v>P</v>
      </c>
      <c r="U51" s="22" t="str">
        <f>Attendance!U51</f>
        <v>P</v>
      </c>
      <c r="V51" s="22" t="str">
        <f>Attendance!V51</f>
        <v>P</v>
      </c>
      <c r="W51" s="22" t="str">
        <f>Attendance!W51</f>
        <v>P</v>
      </c>
      <c r="X51" s="22" t="str">
        <f>Attendance!X51</f>
        <v>H</v>
      </c>
      <c r="Y51" s="22" t="str">
        <f>Attendance!Y51</f>
        <v>P</v>
      </c>
      <c r="Z51" s="22" t="str">
        <f>Attendance!Z51</f>
        <v>P</v>
      </c>
      <c r="AA51" s="22" t="str">
        <f>Attendance!AA51</f>
        <v>P</v>
      </c>
      <c r="AB51" s="22" t="str">
        <f>Attendance!AB51</f>
        <v>P</v>
      </c>
      <c r="AC51" s="22" t="str">
        <f>Attendance!AC51</f>
        <v>P</v>
      </c>
      <c r="AD51" s="22" t="str">
        <f>Attendance!AD51</f>
        <v>P</v>
      </c>
      <c r="AE51" s="13">
        <f>Attendance!AI51/Attendance!AH51</f>
        <v>589.2962962962963</v>
      </c>
      <c r="AF51" s="13">
        <f>(COUNTIF(C51:AD51,"P")+COUNTIF(C51:AD51,"H"))</f>
        <v>27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0</v>
      </c>
      <c r="AX51" s="23">
        <v>0</v>
      </c>
      <c r="AY51" s="23">
        <v>0</v>
      </c>
      <c r="AZ51" s="23">
        <v>0</v>
      </c>
      <c r="BA51" s="23">
        <v>0</v>
      </c>
      <c r="BB51" s="23">
        <v>0</v>
      </c>
      <c r="BC51" s="23">
        <v>0</v>
      </c>
      <c r="BD51" s="23">
        <f>AE51*AF51</f>
        <v>15911</v>
      </c>
      <c r="BE51" s="23">
        <f>ROUND(SUM(AG51:BD51),0)</f>
        <v>15911</v>
      </c>
    </row>
    <row r="52" spans="1:57" ht="17.100000000000001" customHeight="1" x14ac:dyDescent="0.35">
      <c r="A52" s="20">
        <v>49</v>
      </c>
      <c r="B52" s="21" t="str">
        <f>Attendance!B52</f>
        <v>Thatipally Manoj Kumar</v>
      </c>
      <c r="C52" s="22" t="str">
        <f>Attendance!C52</f>
        <v>H</v>
      </c>
      <c r="D52" s="22" t="str">
        <f>Attendance!D52</f>
        <v>P</v>
      </c>
      <c r="E52" s="22" t="str">
        <f>Attendance!E52</f>
        <v>P</v>
      </c>
      <c r="F52" s="22" t="str">
        <f>Attendance!F52</f>
        <v>P</v>
      </c>
      <c r="G52" s="22" t="str">
        <f>Attendance!G52</f>
        <v>P</v>
      </c>
      <c r="H52" s="22" t="str">
        <f>Attendance!H52</f>
        <v>P</v>
      </c>
      <c r="I52" s="22" t="str">
        <f>Attendance!I52</f>
        <v>P</v>
      </c>
      <c r="J52" s="22" t="str">
        <f>Attendance!J52</f>
        <v>H</v>
      </c>
      <c r="K52" s="22" t="str">
        <f>Attendance!K52</f>
        <v>P</v>
      </c>
      <c r="L52" s="22" t="str">
        <f>Attendance!L52</f>
        <v>P</v>
      </c>
      <c r="M52" s="22" t="str">
        <f>Attendance!M52</f>
        <v>P</v>
      </c>
      <c r="N52" s="22" t="str">
        <f>Attendance!N52</f>
        <v>P</v>
      </c>
      <c r="O52" s="22" t="str">
        <f>Attendance!O52</f>
        <v>P</v>
      </c>
      <c r="P52" s="22" t="str">
        <f>Attendance!P52</f>
        <v>P</v>
      </c>
      <c r="Q52" s="22" t="str">
        <f>Attendance!Q52</f>
        <v>H</v>
      </c>
      <c r="R52" s="22" t="str">
        <f>Attendance!R52</f>
        <v>P</v>
      </c>
      <c r="S52" s="22" t="str">
        <f>Attendance!S52</f>
        <v>P</v>
      </c>
      <c r="T52" s="22" t="str">
        <f>Attendance!T52</f>
        <v>P</v>
      </c>
      <c r="U52" s="22" t="str">
        <f>Attendance!U52</f>
        <v>P</v>
      </c>
      <c r="V52" s="22" t="str">
        <f>Attendance!V52</f>
        <v>P</v>
      </c>
      <c r="W52" s="22" t="str">
        <f>Attendance!W52</f>
        <v>P</v>
      </c>
      <c r="X52" s="22" t="str">
        <f>Attendance!X52</f>
        <v>H</v>
      </c>
      <c r="Y52" s="22" t="str">
        <f>Attendance!Y52</f>
        <v>P</v>
      </c>
      <c r="Z52" s="22" t="str">
        <f>Attendance!Z52</f>
        <v>P</v>
      </c>
      <c r="AA52" s="22" t="str">
        <f>Attendance!AA52</f>
        <v>P</v>
      </c>
      <c r="AB52" s="22" t="str">
        <f>Attendance!AB52</f>
        <v>P</v>
      </c>
      <c r="AC52" s="22" t="str">
        <f>Attendance!AC52</f>
        <v>P</v>
      </c>
      <c r="AD52" s="22" t="str">
        <f>Attendance!AD52</f>
        <v>P</v>
      </c>
      <c r="AE52" s="13">
        <f>Attendance!AI52/Attendance!AH52</f>
        <v>589.28571428571433</v>
      </c>
      <c r="AF52" s="13">
        <f>(COUNTIF(C52:AD52,"P")+COUNTIF(C52:AD52,"H"))</f>
        <v>28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0</v>
      </c>
      <c r="AT52" s="23">
        <v>0</v>
      </c>
      <c r="AU52" s="23">
        <v>0</v>
      </c>
      <c r="AV52" s="23">
        <v>0</v>
      </c>
      <c r="AW52" s="23">
        <v>0</v>
      </c>
      <c r="AX52" s="23">
        <v>0</v>
      </c>
      <c r="AY52" s="23">
        <v>0</v>
      </c>
      <c r="AZ52" s="23">
        <v>0</v>
      </c>
      <c r="BA52" s="23">
        <v>0</v>
      </c>
      <c r="BB52" s="23">
        <v>0</v>
      </c>
      <c r="BC52" s="23">
        <v>0</v>
      </c>
      <c r="BD52" s="23">
        <f>AE52*AF52</f>
        <v>16500</v>
      </c>
      <c r="BE52" s="23">
        <f>ROUND(SUM(AG52:BD52),0)</f>
        <v>16500</v>
      </c>
    </row>
    <row r="53" spans="1:57" ht="17.100000000000001" customHeight="1" x14ac:dyDescent="0.35">
      <c r="A53" s="20">
        <v>50</v>
      </c>
      <c r="B53" s="21" t="str">
        <f>Attendance!B53</f>
        <v>Thurpati vijay Bhaskar</v>
      </c>
      <c r="C53" s="22" t="str">
        <f>Attendance!C53</f>
        <v>H</v>
      </c>
      <c r="D53" s="22" t="str">
        <f>Attendance!D53</f>
        <v>P</v>
      </c>
      <c r="E53" s="22" t="str">
        <f>Attendance!E53</f>
        <v>P</v>
      </c>
      <c r="F53" s="22" t="str">
        <f>Attendance!F53</f>
        <v>P</v>
      </c>
      <c r="G53" s="22" t="str">
        <f>Attendance!G53</f>
        <v>P</v>
      </c>
      <c r="H53" s="22" t="str">
        <f>Attendance!H53</f>
        <v>P</v>
      </c>
      <c r="I53" s="22" t="str">
        <f>Attendance!I53</f>
        <v>P</v>
      </c>
      <c r="J53" s="22" t="str">
        <f>Attendance!J53</f>
        <v>H</v>
      </c>
      <c r="K53" s="22" t="str">
        <f>Attendance!K53</f>
        <v>P</v>
      </c>
      <c r="L53" s="22" t="str">
        <f>Attendance!L53</f>
        <v>P</v>
      </c>
      <c r="M53" s="22" t="str">
        <f>Attendance!M53</f>
        <v>P</v>
      </c>
      <c r="N53" s="22" t="str">
        <f>Attendance!N53</f>
        <v>P</v>
      </c>
      <c r="O53" s="22" t="str">
        <f>Attendance!O53</f>
        <v>P</v>
      </c>
      <c r="P53" s="22" t="str">
        <f>Attendance!P53</f>
        <v>P</v>
      </c>
      <c r="Q53" s="22" t="str">
        <f>Attendance!Q53</f>
        <v>H</v>
      </c>
      <c r="R53" s="22" t="str">
        <f>Attendance!R53</f>
        <v>P</v>
      </c>
      <c r="S53" s="22" t="str">
        <f>Attendance!S53</f>
        <v>P</v>
      </c>
      <c r="T53" s="22" t="str">
        <f>Attendance!T53</f>
        <v>L</v>
      </c>
      <c r="U53" s="22" t="str">
        <f>Attendance!U53</f>
        <v>L</v>
      </c>
      <c r="V53" s="22" t="str">
        <f>Attendance!V53</f>
        <v>L</v>
      </c>
      <c r="W53" s="22" t="str">
        <f>Attendance!W53</f>
        <v>L</v>
      </c>
      <c r="X53" s="22" t="str">
        <f>Attendance!X53</f>
        <v>H</v>
      </c>
      <c r="Y53" s="22" t="str">
        <f>Attendance!Y53</f>
        <v>P</v>
      </c>
      <c r="Z53" s="22" t="str">
        <f>Attendance!Z53</f>
        <v>P</v>
      </c>
      <c r="AA53" s="22" t="str">
        <f>Attendance!AA53</f>
        <v>P</v>
      </c>
      <c r="AB53" s="22" t="str">
        <f>Attendance!AB53</f>
        <v>P</v>
      </c>
      <c r="AC53" s="22" t="str">
        <f>Attendance!AC53</f>
        <v>P</v>
      </c>
      <c r="AD53" s="22" t="str">
        <f>Attendance!AD53</f>
        <v>L</v>
      </c>
      <c r="AE53" s="13">
        <f>Attendance!AI53/Attendance!AH53</f>
        <v>589.304347826087</v>
      </c>
      <c r="AF53" s="13">
        <f>(COUNTIF(C53:AD53,"P")+COUNTIF(C53:AD53,"H"))</f>
        <v>23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3">
        <f>AE53*2</f>
        <v>1178.608695652174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f>AE53*21</f>
        <v>12375.391304347828</v>
      </c>
      <c r="AW53" s="23">
        <v>0</v>
      </c>
      <c r="AX53" s="23">
        <v>0</v>
      </c>
      <c r="AY53" s="23">
        <v>0</v>
      </c>
      <c r="AZ53" s="23">
        <v>0</v>
      </c>
      <c r="BA53" s="23">
        <v>0</v>
      </c>
      <c r="BB53" s="23">
        <v>0</v>
      </c>
      <c r="BC53" s="23">
        <v>0</v>
      </c>
      <c r="BD53" s="23">
        <v>0</v>
      </c>
      <c r="BE53" s="23">
        <f>ROUND(SUM(AG53:BD53),0)</f>
        <v>13554</v>
      </c>
    </row>
    <row r="54" spans="1:57" ht="17.100000000000001" customHeight="1" x14ac:dyDescent="0.35">
      <c r="A54" s="20">
        <v>51</v>
      </c>
      <c r="B54" s="21" t="str">
        <f>Attendance!B54</f>
        <v>Ushanolla Ravali</v>
      </c>
      <c r="C54" s="22" t="str">
        <f>Attendance!C54</f>
        <v>H</v>
      </c>
      <c r="D54" s="22" t="str">
        <f>Attendance!D54</f>
        <v>P</v>
      </c>
      <c r="E54" s="22" t="str">
        <f>Attendance!E54</f>
        <v>P</v>
      </c>
      <c r="F54" s="22" t="str">
        <f>Attendance!F54</f>
        <v>P</v>
      </c>
      <c r="G54" s="22" t="str">
        <f>Attendance!G54</f>
        <v>P</v>
      </c>
      <c r="H54" s="22" t="str">
        <f>Attendance!H54</f>
        <v>L</v>
      </c>
      <c r="I54" s="22" t="str">
        <f>Attendance!I54</f>
        <v>P</v>
      </c>
      <c r="J54" s="22" t="str">
        <f>Attendance!J54</f>
        <v>H</v>
      </c>
      <c r="K54" s="22" t="str">
        <f>Attendance!K54</f>
        <v>P</v>
      </c>
      <c r="L54" s="22" t="str">
        <f>Attendance!L54</f>
        <v>P</v>
      </c>
      <c r="M54" s="22" t="str">
        <f>Attendance!M54</f>
        <v>P</v>
      </c>
      <c r="N54" s="22" t="str">
        <f>Attendance!N54</f>
        <v>P</v>
      </c>
      <c r="O54" s="22" t="str">
        <f>Attendance!O54</f>
        <v>P</v>
      </c>
      <c r="P54" s="22" t="str">
        <f>Attendance!P54</f>
        <v>P</v>
      </c>
      <c r="Q54" s="22" t="str">
        <f>Attendance!Q54</f>
        <v>H</v>
      </c>
      <c r="R54" s="22" t="str">
        <f>Attendance!R54</f>
        <v>P</v>
      </c>
      <c r="S54" s="22" t="str">
        <f>Attendance!S54</f>
        <v>P</v>
      </c>
      <c r="T54" s="22" t="str">
        <f>Attendance!T54</f>
        <v>P</v>
      </c>
      <c r="U54" s="22" t="str">
        <f>Attendance!U54</f>
        <v>P</v>
      </c>
      <c r="V54" s="22" t="str">
        <f>Attendance!V54</f>
        <v>P</v>
      </c>
      <c r="W54" s="22" t="str">
        <f>Attendance!W54</f>
        <v>P</v>
      </c>
      <c r="X54" s="22" t="str">
        <f>Attendance!X54</f>
        <v>H</v>
      </c>
      <c r="Y54" s="22" t="str">
        <f>Attendance!Y54</f>
        <v>P</v>
      </c>
      <c r="Z54" s="22" t="str">
        <f>Attendance!Z54</f>
        <v>P</v>
      </c>
      <c r="AA54" s="22" t="str">
        <f>Attendance!AA54</f>
        <v>P</v>
      </c>
      <c r="AB54" s="22" t="str">
        <f>Attendance!AB54</f>
        <v>P</v>
      </c>
      <c r="AC54" s="22" t="str">
        <f>Attendance!AC54</f>
        <v>P</v>
      </c>
      <c r="AD54" s="22" t="str">
        <f>Attendance!AD54</f>
        <v>P</v>
      </c>
      <c r="AE54" s="13">
        <f>Attendance!AI54/Attendance!AH54</f>
        <v>589.2962962962963</v>
      </c>
      <c r="AF54" s="13">
        <f>(COUNTIF(C54:AD54,"P")+COUNTIF(C54:AD54,"H"))</f>
        <v>27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3">
        <f>AE54*11</f>
        <v>6482.2592592592591</v>
      </c>
      <c r="AM54" s="23">
        <v>0</v>
      </c>
      <c r="AN54" s="23">
        <f>AE54*16</f>
        <v>9428.7407407407409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0</v>
      </c>
      <c r="AX54" s="23">
        <v>0</v>
      </c>
      <c r="AY54" s="23">
        <v>0</v>
      </c>
      <c r="AZ54" s="23">
        <v>0</v>
      </c>
      <c r="BA54" s="23">
        <v>0</v>
      </c>
      <c r="BB54" s="23">
        <v>0</v>
      </c>
      <c r="BC54" s="23">
        <v>0</v>
      </c>
      <c r="BD54" s="23">
        <v>0</v>
      </c>
      <c r="BE54" s="23">
        <f>ROUND(SUM(AG54:BD54),0)</f>
        <v>15911</v>
      </c>
    </row>
    <row r="55" spans="1:57" ht="17.100000000000001" customHeight="1" x14ac:dyDescent="0.35">
      <c r="A55" s="20">
        <v>52</v>
      </c>
      <c r="B55" s="21" t="str">
        <f>Attendance!B55</f>
        <v>Ushanula Ramya</v>
      </c>
      <c r="C55" s="22" t="str">
        <f>Attendance!C55</f>
        <v>H</v>
      </c>
      <c r="D55" s="22" t="str">
        <f>Attendance!D55</f>
        <v>P</v>
      </c>
      <c r="E55" s="22" t="str">
        <f>Attendance!E55</f>
        <v>P</v>
      </c>
      <c r="F55" s="22" t="str">
        <f>Attendance!F55</f>
        <v>P</v>
      </c>
      <c r="G55" s="22" t="str">
        <f>Attendance!G55</f>
        <v>P</v>
      </c>
      <c r="H55" s="22" t="str">
        <f>Attendance!H55</f>
        <v>P</v>
      </c>
      <c r="I55" s="22" t="str">
        <f>Attendance!I55</f>
        <v>P</v>
      </c>
      <c r="J55" s="22" t="str">
        <f>Attendance!J55</f>
        <v>H</v>
      </c>
      <c r="K55" s="22" t="str">
        <f>Attendance!K55</f>
        <v>P</v>
      </c>
      <c r="L55" s="22" t="str">
        <f>Attendance!L55</f>
        <v>P</v>
      </c>
      <c r="M55" s="22" t="str">
        <f>Attendance!M55</f>
        <v>P</v>
      </c>
      <c r="N55" s="22" t="str">
        <f>Attendance!N55</f>
        <v>P</v>
      </c>
      <c r="O55" s="22" t="str">
        <f>Attendance!O55</f>
        <v>P</v>
      </c>
      <c r="P55" s="22" t="str">
        <f>Attendance!P55</f>
        <v>P</v>
      </c>
      <c r="Q55" s="22" t="str">
        <f>Attendance!Q55</f>
        <v>H</v>
      </c>
      <c r="R55" s="22" t="str">
        <f>Attendance!R55</f>
        <v>L</v>
      </c>
      <c r="S55" s="22" t="str">
        <f>Attendance!S55</f>
        <v>P</v>
      </c>
      <c r="T55" s="22" t="str">
        <f>Attendance!T55</f>
        <v>P</v>
      </c>
      <c r="U55" s="22" t="str">
        <f>Attendance!U55</f>
        <v>P</v>
      </c>
      <c r="V55" s="22" t="str">
        <f>Attendance!V55</f>
        <v>P</v>
      </c>
      <c r="W55" s="22" t="str">
        <f>Attendance!W55</f>
        <v>P</v>
      </c>
      <c r="X55" s="22" t="str">
        <f>Attendance!X55</f>
        <v>H</v>
      </c>
      <c r="Y55" s="22" t="str">
        <f>Attendance!Y55</f>
        <v>P</v>
      </c>
      <c r="Z55" s="22" t="str">
        <f>Attendance!Z55</f>
        <v>P</v>
      </c>
      <c r="AA55" s="22" t="str">
        <f>Attendance!AA55</f>
        <v>P</v>
      </c>
      <c r="AB55" s="22" t="str">
        <f>Attendance!AB55</f>
        <v>P</v>
      </c>
      <c r="AC55" s="22" t="str">
        <f>Attendance!AC55</f>
        <v>P</v>
      </c>
      <c r="AD55" s="22" t="str">
        <f>Attendance!AD55</f>
        <v>P</v>
      </c>
      <c r="AE55" s="13">
        <f>Attendance!AI55/Attendance!AH55</f>
        <v>589.2962962962963</v>
      </c>
      <c r="AF55" s="13">
        <f>(COUNTIF(C55:AD55,"P")+COUNTIF(C55:AD55,"H"))</f>
        <v>27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f>AE55*11</f>
        <v>6482.2592592592591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0</v>
      </c>
      <c r="AW55" s="23">
        <v>0</v>
      </c>
      <c r="AX55" s="23">
        <v>0</v>
      </c>
      <c r="AY55" s="23">
        <f>AE55*16</f>
        <v>9428.7407407407409</v>
      </c>
      <c r="AZ55" s="23">
        <v>0</v>
      </c>
      <c r="BA55" s="23">
        <v>0</v>
      </c>
      <c r="BB55" s="23">
        <v>0</v>
      </c>
      <c r="BC55" s="23">
        <v>0</v>
      </c>
      <c r="BD55" s="23">
        <v>0</v>
      </c>
      <c r="BE55" s="23">
        <f>ROUND(SUM(AG55:BD55),0)</f>
        <v>15911</v>
      </c>
    </row>
    <row r="56" spans="1:57" ht="17.100000000000001" customHeight="1" x14ac:dyDescent="0.35">
      <c r="A56" s="20">
        <v>53</v>
      </c>
      <c r="B56" s="21" t="str">
        <f>Attendance!B56</f>
        <v>Chejerla Nagavamsidhar Reddy</v>
      </c>
      <c r="C56" s="22" t="str">
        <f>Attendance!C56</f>
        <v>-</v>
      </c>
      <c r="D56" s="22" t="str">
        <f>Attendance!D56</f>
        <v>P</v>
      </c>
      <c r="E56" s="22" t="str">
        <f>Attendance!E56</f>
        <v>P</v>
      </c>
      <c r="F56" s="22" t="str">
        <f>Attendance!F56</f>
        <v>P</v>
      </c>
      <c r="G56" s="22" t="str">
        <f>Attendance!G56</f>
        <v>P</v>
      </c>
      <c r="H56" s="22" t="str">
        <f>Attendance!H56</f>
        <v>P</v>
      </c>
      <c r="I56" s="22" t="str">
        <f>Attendance!I56</f>
        <v>P</v>
      </c>
      <c r="J56" s="22" t="str">
        <f>Attendance!J56</f>
        <v>H</v>
      </c>
      <c r="K56" s="22" t="str">
        <f>Attendance!K56</f>
        <v>P</v>
      </c>
      <c r="L56" s="22" t="str">
        <f>Attendance!L56</f>
        <v>P</v>
      </c>
      <c r="M56" s="22" t="str">
        <f>Attendance!M56</f>
        <v>P</v>
      </c>
      <c r="N56" s="22" t="str">
        <f>Attendance!N56</f>
        <v>P</v>
      </c>
      <c r="O56" s="22" t="str">
        <f>Attendance!O56</f>
        <v>P</v>
      </c>
      <c r="P56" s="22" t="str">
        <f>Attendance!P56</f>
        <v>P</v>
      </c>
      <c r="Q56" s="22" t="str">
        <f>Attendance!Q56</f>
        <v>H</v>
      </c>
      <c r="R56" s="22" t="str">
        <f>Attendance!R56</f>
        <v>P</v>
      </c>
      <c r="S56" s="22" t="str">
        <f>Attendance!S56</f>
        <v>P</v>
      </c>
      <c r="T56" s="22" t="str">
        <f>Attendance!T56</f>
        <v>P</v>
      </c>
      <c r="U56" s="22" t="str">
        <f>Attendance!U56</f>
        <v>P</v>
      </c>
      <c r="V56" s="22" t="str">
        <f>Attendance!V56</f>
        <v>P</v>
      </c>
      <c r="W56" s="22" t="str">
        <f>Attendance!W56</f>
        <v>P</v>
      </c>
      <c r="X56" s="22" t="str">
        <f>Attendance!X56</f>
        <v>H</v>
      </c>
      <c r="Y56" s="22" t="str">
        <f>Attendance!Y56</f>
        <v>P</v>
      </c>
      <c r="Z56" s="22" t="str">
        <f>Attendance!Z56</f>
        <v>P</v>
      </c>
      <c r="AA56" s="22" t="str">
        <f>Attendance!AA56</f>
        <v>P</v>
      </c>
      <c r="AB56" s="22" t="str">
        <f>Attendance!AB56</f>
        <v>P</v>
      </c>
      <c r="AC56" s="22" t="str">
        <f>Attendance!AC56</f>
        <v>P</v>
      </c>
      <c r="AD56" s="22" t="str">
        <f>Attendance!AD56</f>
        <v>P</v>
      </c>
      <c r="AE56" s="13">
        <f>Attendance!AI56/Attendance!AH56</f>
        <v>589.2962962962963</v>
      </c>
      <c r="AF56" s="13">
        <f>(COUNTIF(C56:AD56,"P")+COUNTIF(C56:AD56,"H"))</f>
        <v>27</v>
      </c>
      <c r="AG56" s="23">
        <v>0</v>
      </c>
      <c r="AH56" s="23">
        <v>0</v>
      </c>
      <c r="AI56" s="23">
        <v>0</v>
      </c>
      <c r="AJ56" s="23">
        <v>0</v>
      </c>
      <c r="AK56" s="23">
        <v>0</v>
      </c>
      <c r="AL56" s="23">
        <f>AE56*11</f>
        <v>6482.2592592592591</v>
      </c>
      <c r="AM56" s="23">
        <v>0</v>
      </c>
      <c r="AN56" s="23">
        <v>0</v>
      </c>
      <c r="AO56" s="23">
        <v>0</v>
      </c>
      <c r="AP56" s="23">
        <v>0</v>
      </c>
      <c r="AQ56" s="23">
        <v>0</v>
      </c>
      <c r="AR56" s="23">
        <v>0</v>
      </c>
      <c r="AS56" s="23">
        <v>0</v>
      </c>
      <c r="AT56" s="23">
        <v>0</v>
      </c>
      <c r="AU56" s="23">
        <v>0</v>
      </c>
      <c r="AV56" s="23">
        <v>0</v>
      </c>
      <c r="AW56" s="23">
        <f>AE56*16</f>
        <v>9428.7407407407409</v>
      </c>
      <c r="AX56" s="23">
        <v>0</v>
      </c>
      <c r="AY56" s="23">
        <v>0</v>
      </c>
      <c r="AZ56" s="23">
        <v>0</v>
      </c>
      <c r="BA56" s="23">
        <v>0</v>
      </c>
      <c r="BB56" s="23">
        <v>0</v>
      </c>
      <c r="BC56" s="23">
        <v>0</v>
      </c>
      <c r="BD56" s="23">
        <v>0</v>
      </c>
      <c r="BE56" s="23">
        <f>ROUND(SUM(AG56:BD56),0)</f>
        <v>15911</v>
      </c>
    </row>
    <row r="57" spans="1:57" ht="17.100000000000001" customHeight="1" x14ac:dyDescent="0.3">
      <c r="AG57" s="23">
        <f>SUM(AG4:AG56)</f>
        <v>11196.541666666666</v>
      </c>
      <c r="AH57" s="23">
        <f>SUM(AH4:AH56)</f>
        <v>15320.999999999998</v>
      </c>
      <c r="AI57" s="23">
        <f>SUM(AI4:AI56)</f>
        <v>7660.8518518518522</v>
      </c>
      <c r="AJ57" s="23">
        <f>SUM(AJ4:AJ56)</f>
        <v>39482</v>
      </c>
      <c r="AK57" s="23">
        <f>SUM(AK4:AK56)</f>
        <v>14732</v>
      </c>
      <c r="AL57" s="23">
        <f>SUM(AL4:AL56)</f>
        <v>25339.757850241545</v>
      </c>
      <c r="AM57" s="23">
        <f>SUM(AM4:AM56)</f>
        <v>15911</v>
      </c>
      <c r="AN57" s="23">
        <f>SUM(AN4:AN56)</f>
        <v>9428.7407407407409</v>
      </c>
      <c r="AO57" s="23">
        <f>SUM(AO4:AO56)</f>
        <v>11786.08695652174</v>
      </c>
      <c r="AP57" s="23">
        <f>SUM(AP4:AP56)</f>
        <v>13554</v>
      </c>
      <c r="AQ57" s="23">
        <f>SUM(AQ4:AQ56)</f>
        <v>8250.1481481481478</v>
      </c>
      <c r="AR57" s="23">
        <f>SUM(AR4:AR56)</f>
        <v>7071.5</v>
      </c>
      <c r="AS57" s="23">
        <f>SUM(AS4:AS56)</f>
        <v>7660.8518518518522</v>
      </c>
      <c r="AT57" s="23">
        <f>SUM(AT4:AT56)</f>
        <v>8250.1481481481478</v>
      </c>
      <c r="AU57" s="23">
        <f>SUM(AU4:AU56)</f>
        <v>31232</v>
      </c>
      <c r="AV57" s="23">
        <f>SUM(AV4:AV56)</f>
        <v>12375.391304347828</v>
      </c>
      <c r="AW57" s="23">
        <f>SUM(AW4:AW56)</f>
        <v>9428.7407407407409</v>
      </c>
      <c r="AX57" s="23">
        <f>SUM(AX4:AX56)</f>
        <v>5892.9166666666661</v>
      </c>
      <c r="AY57" s="23">
        <f>SUM(AY4:AY56)</f>
        <v>9428.7407407407409</v>
      </c>
      <c r="AZ57" s="23">
        <f>SUM(AZ4:AZ56)</f>
        <v>7071.5</v>
      </c>
      <c r="BA57" s="23">
        <f>SUM(BA4:BA56)</f>
        <v>8250.0833333333321</v>
      </c>
      <c r="BB57" s="23">
        <f>SUM(BB4:BB56)</f>
        <v>11196</v>
      </c>
      <c r="BC57" s="23">
        <f>SUM(BC4:BC56)</f>
        <v>118446</v>
      </c>
      <c r="BD57" s="23">
        <f>SUM(BD4:BD56)</f>
        <v>393053</v>
      </c>
      <c r="BE57" s="23">
        <f>SUM(BE4:BE56)</f>
        <v>802019</v>
      </c>
    </row>
  </sheetData>
  <mergeCells count="29">
    <mergeCell ref="BD1:BD3"/>
    <mergeCell ref="BE1:BE3"/>
    <mergeCell ref="A2:A3"/>
    <mergeCell ref="B2:B3"/>
    <mergeCell ref="AF2:AF3"/>
    <mergeCell ref="AX1:AX3"/>
    <mergeCell ref="AY1:AY3"/>
    <mergeCell ref="AZ1:AZ3"/>
    <mergeCell ref="BA1:BA3"/>
    <mergeCell ref="BB1:BB3"/>
    <mergeCell ref="BC1:BC3"/>
    <mergeCell ref="AR1:AR3"/>
    <mergeCell ref="AS1:AS3"/>
    <mergeCell ref="AT1:AT3"/>
    <mergeCell ref="AU1:AU3"/>
    <mergeCell ref="AV1:AV3"/>
    <mergeCell ref="AW1:AW3"/>
    <mergeCell ref="AL1:AL3"/>
    <mergeCell ref="AM1:AM3"/>
    <mergeCell ref="AN1:AN3"/>
    <mergeCell ref="AO1:AO3"/>
    <mergeCell ref="AP1:AP3"/>
    <mergeCell ref="AQ1:AQ3"/>
    <mergeCell ref="A1:AD1"/>
    <mergeCell ref="AG1:AG3"/>
    <mergeCell ref="AH1:AH3"/>
    <mergeCell ref="AI1:AI3"/>
    <mergeCell ref="AJ1:AJ3"/>
    <mergeCell ref="AK1:AK3"/>
  </mergeCells>
  <conditionalFormatting sqref="C4:AD56">
    <cfRule type="cellIs" dxfId="8" priority="4" operator="equal">
      <formula>"L"</formula>
    </cfRule>
    <cfRule type="cellIs" dxfId="7" priority="5" operator="equal">
      <formula>"PL"</formula>
    </cfRule>
    <cfRule type="cellIs" dxfId="6" priority="6" operator="equal">
      <formula>"PL"</formula>
    </cfRule>
  </conditionalFormatting>
  <conditionalFormatting sqref="C3:AE3">
    <cfRule type="cellIs" dxfId="5" priority="7" operator="equal">
      <formula>"Sun"</formula>
    </cfRule>
  </conditionalFormatting>
  <conditionalFormatting sqref="C4:AF56">
    <cfRule type="cellIs" dxfId="4" priority="8" operator="equal">
      <formula>"L"</formula>
    </cfRule>
    <cfRule type="cellIs" dxfId="3" priority="9" operator="equal">
      <formula>"H"</formula>
    </cfRule>
  </conditionalFormatting>
  <conditionalFormatting sqref="AG4:BE57">
    <cfRule type="cellIs" dxfId="2" priority="2" operator="between">
      <formula>1</formula>
      <formula>16500</formula>
    </cfRule>
    <cfRule type="cellIs" dxfId="1" priority="3" operator="greaterThan">
      <formula>16500</formula>
    </cfRule>
  </conditionalFormatting>
  <conditionalFormatting sqref="AG57:BE57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61D9-ABFE-4925-9E1E-DA92F9500F4C}">
  <dimension ref="A1:S56"/>
  <sheetViews>
    <sheetView tabSelected="1" workbookViewId="0">
      <selection activeCell="S2" sqref="S2"/>
    </sheetView>
  </sheetViews>
  <sheetFormatPr defaultRowHeight="14.4" x14ac:dyDescent="0.3"/>
  <cols>
    <col min="1" max="1" width="14.44140625" customWidth="1"/>
    <col min="2" max="2" width="6.77734375" bestFit="1" customWidth="1"/>
    <col min="3" max="3" width="7.5546875" bestFit="1" customWidth="1"/>
    <col min="4" max="4" width="7.44140625" bestFit="1" customWidth="1"/>
    <col min="5" max="5" width="9.6640625" bestFit="1" customWidth="1"/>
    <col min="6" max="6" width="2.77734375" bestFit="1" customWidth="1"/>
    <col min="10" max="10" width="21.44140625" bestFit="1" customWidth="1"/>
  </cols>
  <sheetData>
    <row r="1" spans="1:19" x14ac:dyDescent="0.3">
      <c r="A1" s="103" t="s">
        <v>128</v>
      </c>
      <c r="B1" s="104"/>
      <c r="C1" s="104"/>
      <c r="D1" s="104"/>
      <c r="E1" s="104"/>
      <c r="F1">
        <v>8</v>
      </c>
    </row>
    <row r="2" spans="1:19" x14ac:dyDescent="0.3">
      <c r="A2" s="61" t="s">
        <v>73</v>
      </c>
      <c r="B2" s="61" t="s">
        <v>74</v>
      </c>
      <c r="C2" s="61" t="s">
        <v>75</v>
      </c>
      <c r="D2" s="62" t="s">
        <v>76</v>
      </c>
      <c r="E2" s="61" t="s">
        <v>118</v>
      </c>
    </row>
    <row r="3" spans="1:19" ht="15" x14ac:dyDescent="0.35">
      <c r="A3" s="74" t="s">
        <v>77</v>
      </c>
      <c r="B3" s="72">
        <v>347</v>
      </c>
      <c r="C3" s="70"/>
      <c r="D3" s="73"/>
      <c r="E3" s="70">
        <v>5000</v>
      </c>
      <c r="F3" s="66">
        <f>ROUND(B3/$F$1,0)</f>
        <v>43</v>
      </c>
      <c r="H3">
        <f>ROUND(E3/F1,0)</f>
        <v>625</v>
      </c>
      <c r="J3" s="42"/>
      <c r="K3" s="42"/>
      <c r="L3" s="108" t="s">
        <v>74</v>
      </c>
      <c r="M3" s="108"/>
      <c r="N3" s="108" t="s">
        <v>74</v>
      </c>
      <c r="O3" s="108"/>
      <c r="P3" s="108" t="s">
        <v>75</v>
      </c>
      <c r="Q3" s="108"/>
      <c r="R3" s="108" t="s">
        <v>118</v>
      </c>
      <c r="S3" s="108"/>
    </row>
    <row r="4" spans="1:19" ht="15" x14ac:dyDescent="0.35">
      <c r="A4" s="74" t="s">
        <v>78</v>
      </c>
      <c r="B4" s="72">
        <v>159</v>
      </c>
      <c r="C4" s="70"/>
      <c r="D4" s="73"/>
      <c r="E4" s="70"/>
      <c r="F4" s="66">
        <f t="shared" ref="F4:F24" si="0">ROUND(B4/$F$1,0)</f>
        <v>20</v>
      </c>
      <c r="J4" s="76" t="s">
        <v>109</v>
      </c>
      <c r="K4" s="42">
        <v>22</v>
      </c>
      <c r="L4" s="44" t="s">
        <v>94</v>
      </c>
      <c r="M4" s="42">
        <v>22</v>
      </c>
      <c r="N4" s="42"/>
      <c r="O4" s="42"/>
      <c r="P4" s="42"/>
      <c r="Q4" s="42"/>
      <c r="R4" s="42"/>
      <c r="S4" s="42"/>
    </row>
    <row r="5" spans="1:19" ht="15" x14ac:dyDescent="0.35">
      <c r="A5" s="74" t="s">
        <v>79</v>
      </c>
      <c r="B5" s="72">
        <v>199</v>
      </c>
      <c r="C5" s="70">
        <v>1595</v>
      </c>
      <c r="D5" s="73"/>
      <c r="E5" s="70"/>
      <c r="F5" s="66">
        <f t="shared" si="0"/>
        <v>25</v>
      </c>
      <c r="G5">
        <f>ROUND(C5/F1,0)</f>
        <v>199</v>
      </c>
      <c r="J5" s="76" t="s">
        <v>108</v>
      </c>
      <c r="K5" s="42">
        <v>28</v>
      </c>
      <c r="L5" s="42"/>
      <c r="M5" s="42"/>
      <c r="N5" s="42"/>
      <c r="O5" s="42"/>
      <c r="P5" s="42" t="s">
        <v>79</v>
      </c>
      <c r="Q5" s="42">
        <v>28</v>
      </c>
      <c r="R5" s="42"/>
      <c r="S5" s="42"/>
    </row>
    <row r="6" spans="1:19" ht="15" x14ac:dyDescent="0.35">
      <c r="A6" s="74" t="s">
        <v>80</v>
      </c>
      <c r="B6" s="72">
        <v>97</v>
      </c>
      <c r="C6" s="70"/>
      <c r="D6" s="73"/>
      <c r="E6" s="70"/>
      <c r="F6" s="66">
        <f t="shared" si="0"/>
        <v>12</v>
      </c>
      <c r="J6" s="76" t="s">
        <v>22</v>
      </c>
      <c r="K6" s="42">
        <v>27</v>
      </c>
      <c r="L6" s="43" t="s">
        <v>82</v>
      </c>
      <c r="M6" s="42">
        <v>14</v>
      </c>
      <c r="N6" s="43" t="s">
        <v>83</v>
      </c>
      <c r="O6" s="42">
        <v>13</v>
      </c>
      <c r="P6" s="42"/>
      <c r="Q6" s="42"/>
      <c r="R6" s="42"/>
      <c r="S6" s="42"/>
    </row>
    <row r="7" spans="1:19" ht="15" x14ac:dyDescent="0.35">
      <c r="A7" s="74" t="s">
        <v>81</v>
      </c>
      <c r="B7" s="72">
        <v>94</v>
      </c>
      <c r="C7" s="70"/>
      <c r="D7" s="73"/>
      <c r="E7" s="70"/>
      <c r="F7" s="66">
        <f t="shared" si="0"/>
        <v>12</v>
      </c>
      <c r="J7" s="76" t="s">
        <v>12</v>
      </c>
      <c r="K7" s="42">
        <v>27</v>
      </c>
      <c r="L7" s="44" t="s">
        <v>96</v>
      </c>
      <c r="M7" s="42">
        <v>27</v>
      </c>
      <c r="N7" s="42"/>
      <c r="O7" s="42"/>
      <c r="P7" s="42"/>
      <c r="Q7" s="42"/>
      <c r="R7" s="42"/>
      <c r="S7" s="42"/>
    </row>
    <row r="8" spans="1:19" ht="15" x14ac:dyDescent="0.35">
      <c r="A8" s="74" t="s">
        <v>82</v>
      </c>
      <c r="B8" s="72">
        <v>112</v>
      </c>
      <c r="C8" s="70"/>
      <c r="D8" s="75"/>
      <c r="E8" s="70"/>
      <c r="F8" s="66">
        <f t="shared" si="0"/>
        <v>14</v>
      </c>
      <c r="J8" s="76" t="s">
        <v>104</v>
      </c>
      <c r="K8" s="42">
        <v>23</v>
      </c>
      <c r="L8" s="44" t="s">
        <v>94</v>
      </c>
      <c r="M8" s="42">
        <v>23</v>
      </c>
      <c r="N8" s="42"/>
      <c r="O8" s="42"/>
      <c r="P8" s="42"/>
      <c r="Q8" s="42"/>
      <c r="R8" s="42"/>
      <c r="S8" s="42"/>
    </row>
    <row r="9" spans="1:19" ht="15" x14ac:dyDescent="0.35">
      <c r="A9" s="74" t="s">
        <v>83</v>
      </c>
      <c r="B9" s="72">
        <v>104</v>
      </c>
      <c r="C9" s="70"/>
      <c r="D9" s="73"/>
      <c r="E9" s="70"/>
      <c r="F9" s="66">
        <f t="shared" si="0"/>
        <v>13</v>
      </c>
      <c r="J9" s="76" t="s">
        <v>61</v>
      </c>
      <c r="K9" s="42">
        <v>26</v>
      </c>
      <c r="L9" s="44" t="s">
        <v>96</v>
      </c>
      <c r="M9" s="42">
        <v>26</v>
      </c>
      <c r="N9" s="42"/>
      <c r="O9" s="42"/>
      <c r="P9" s="42"/>
      <c r="Q9" s="42"/>
      <c r="R9" s="42"/>
      <c r="S9" s="42"/>
    </row>
    <row r="10" spans="1:19" ht="15" x14ac:dyDescent="0.35">
      <c r="A10" s="74" t="s">
        <v>84</v>
      </c>
      <c r="B10" s="72">
        <v>150</v>
      </c>
      <c r="C10" s="70"/>
      <c r="D10" s="73"/>
      <c r="E10" s="70"/>
      <c r="F10" s="66">
        <f t="shared" si="0"/>
        <v>19</v>
      </c>
      <c r="J10" s="76" t="s">
        <v>55</v>
      </c>
      <c r="K10" s="42">
        <v>28</v>
      </c>
      <c r="L10" s="42"/>
      <c r="M10" s="42"/>
      <c r="N10" s="42"/>
      <c r="O10" s="42"/>
      <c r="P10" s="42" t="s">
        <v>79</v>
      </c>
      <c r="Q10" s="42">
        <v>28</v>
      </c>
      <c r="R10" s="42"/>
      <c r="S10" s="42"/>
    </row>
    <row r="11" spans="1:19" ht="15" x14ac:dyDescent="0.35">
      <c r="A11" s="74" t="s">
        <v>85</v>
      </c>
      <c r="B11" s="72">
        <v>183</v>
      </c>
      <c r="C11" s="70"/>
      <c r="D11" s="73"/>
      <c r="E11" s="70"/>
      <c r="F11" s="66">
        <f t="shared" si="0"/>
        <v>23</v>
      </c>
      <c r="J11" s="76" t="s">
        <v>101</v>
      </c>
      <c r="K11" s="42">
        <v>23</v>
      </c>
      <c r="L11" s="43" t="s">
        <v>85</v>
      </c>
      <c r="M11" s="42">
        <v>23</v>
      </c>
      <c r="N11" s="42"/>
      <c r="O11" s="42"/>
      <c r="P11" s="42"/>
      <c r="Q11" s="42"/>
      <c r="R11" s="42"/>
      <c r="S11" s="42"/>
    </row>
    <row r="12" spans="1:19" ht="15" x14ac:dyDescent="0.35">
      <c r="A12" s="74" t="s">
        <v>86</v>
      </c>
      <c r="B12" s="72">
        <v>164</v>
      </c>
      <c r="C12" s="70"/>
      <c r="D12" s="73"/>
      <c r="E12" s="70"/>
      <c r="F12" s="66">
        <f t="shared" si="0"/>
        <v>21</v>
      </c>
      <c r="J12" s="76" t="s">
        <v>71</v>
      </c>
      <c r="K12" s="42">
        <v>26</v>
      </c>
      <c r="L12" s="42"/>
      <c r="M12" s="42"/>
      <c r="N12" s="42"/>
      <c r="O12" s="42"/>
      <c r="P12" s="42" t="s">
        <v>79</v>
      </c>
      <c r="Q12" s="42">
        <v>26</v>
      </c>
      <c r="R12" s="42"/>
      <c r="S12" s="42"/>
    </row>
    <row r="13" spans="1:19" ht="15" x14ac:dyDescent="0.35">
      <c r="A13" s="74" t="s">
        <v>87</v>
      </c>
      <c r="B13" s="72">
        <v>77</v>
      </c>
      <c r="C13" s="70"/>
      <c r="D13" s="73"/>
      <c r="E13" s="70"/>
      <c r="F13" s="66">
        <f t="shared" si="0"/>
        <v>10</v>
      </c>
      <c r="J13" s="76" t="s">
        <v>70</v>
      </c>
      <c r="K13" s="42">
        <v>25</v>
      </c>
      <c r="L13" s="43" t="s">
        <v>79</v>
      </c>
      <c r="M13" s="42">
        <v>25</v>
      </c>
      <c r="N13" s="42"/>
      <c r="O13" s="42"/>
      <c r="P13" s="42"/>
      <c r="Q13" s="42"/>
      <c r="R13" s="42"/>
      <c r="S13" s="42"/>
    </row>
    <row r="14" spans="1:19" ht="15" x14ac:dyDescent="0.35">
      <c r="A14" s="74" t="s">
        <v>88</v>
      </c>
      <c r="B14" s="72">
        <v>108</v>
      </c>
      <c r="C14" s="72"/>
      <c r="D14" s="73"/>
      <c r="E14" s="70"/>
      <c r="F14" s="66">
        <f t="shared" si="0"/>
        <v>14</v>
      </c>
      <c r="J14" s="76" t="s">
        <v>62</v>
      </c>
      <c r="K14" s="42">
        <v>19</v>
      </c>
      <c r="L14" s="44" t="s">
        <v>98</v>
      </c>
      <c r="M14" s="42">
        <v>19</v>
      </c>
      <c r="N14" s="42"/>
      <c r="O14" s="42"/>
      <c r="P14" s="42"/>
      <c r="Q14" s="42"/>
      <c r="R14" s="42"/>
      <c r="S14" s="42"/>
    </row>
    <row r="15" spans="1:19" ht="15" x14ac:dyDescent="0.35">
      <c r="A15" s="74" t="s">
        <v>89</v>
      </c>
      <c r="B15" s="72">
        <v>105</v>
      </c>
      <c r="C15" s="72"/>
      <c r="D15" s="73"/>
      <c r="E15" s="70"/>
      <c r="F15" s="66">
        <f t="shared" si="0"/>
        <v>13</v>
      </c>
      <c r="J15" s="76" t="s">
        <v>102</v>
      </c>
      <c r="K15" s="42">
        <v>24</v>
      </c>
      <c r="L15" s="43" t="s">
        <v>80</v>
      </c>
      <c r="M15" s="42">
        <v>12</v>
      </c>
      <c r="N15" s="43" t="s">
        <v>81</v>
      </c>
      <c r="O15" s="42">
        <v>12</v>
      </c>
      <c r="P15" s="42"/>
      <c r="Q15" s="42"/>
      <c r="R15" s="42"/>
      <c r="S15" s="42"/>
    </row>
    <row r="16" spans="1:19" ht="15" x14ac:dyDescent="0.35">
      <c r="A16" s="74" t="s">
        <v>90</v>
      </c>
      <c r="B16" s="72">
        <v>128</v>
      </c>
      <c r="C16" s="72"/>
      <c r="D16" s="73"/>
      <c r="E16" s="70"/>
      <c r="F16" s="66">
        <f t="shared" si="0"/>
        <v>16</v>
      </c>
      <c r="J16" s="76" t="s">
        <v>100</v>
      </c>
      <c r="K16" s="42">
        <v>28</v>
      </c>
      <c r="L16" s="42"/>
      <c r="M16" s="42"/>
      <c r="N16" s="42"/>
      <c r="O16" s="42"/>
      <c r="P16" s="42" t="s">
        <v>79</v>
      </c>
      <c r="Q16" s="42">
        <v>28</v>
      </c>
      <c r="R16" s="42"/>
      <c r="S16" s="42"/>
    </row>
    <row r="17" spans="1:19" ht="15" x14ac:dyDescent="0.35">
      <c r="A17" s="74" t="s">
        <v>91</v>
      </c>
      <c r="B17" s="72">
        <v>127</v>
      </c>
      <c r="C17" s="72"/>
      <c r="D17" s="73"/>
      <c r="E17" s="70"/>
      <c r="F17" s="66">
        <f t="shared" si="0"/>
        <v>16</v>
      </c>
      <c r="J17" s="76" t="s">
        <v>2</v>
      </c>
      <c r="K17" s="42">
        <v>28</v>
      </c>
      <c r="L17" s="42"/>
      <c r="M17" s="42"/>
      <c r="N17" s="42"/>
      <c r="O17" s="42"/>
      <c r="P17" s="42" t="s">
        <v>79</v>
      </c>
      <c r="Q17" s="42">
        <v>28</v>
      </c>
      <c r="R17" s="42"/>
      <c r="S17" s="42"/>
    </row>
    <row r="18" spans="1:19" ht="15" x14ac:dyDescent="0.35">
      <c r="A18" s="74" t="s">
        <v>92</v>
      </c>
      <c r="B18" s="72">
        <v>126</v>
      </c>
      <c r="C18" s="72"/>
      <c r="D18" s="73"/>
      <c r="E18" s="70"/>
      <c r="F18" s="66">
        <f t="shared" si="0"/>
        <v>16</v>
      </c>
      <c r="J18" s="76" t="s">
        <v>3</v>
      </c>
      <c r="K18" s="42">
        <v>28</v>
      </c>
      <c r="L18" s="42"/>
      <c r="M18" s="42"/>
      <c r="N18" s="42"/>
      <c r="O18" s="42"/>
      <c r="P18" s="42" t="s">
        <v>79</v>
      </c>
      <c r="Q18" s="42">
        <v>28</v>
      </c>
      <c r="R18" s="42"/>
      <c r="S18" s="42"/>
    </row>
    <row r="19" spans="1:19" ht="15" x14ac:dyDescent="0.35">
      <c r="A19" s="71" t="s">
        <v>93</v>
      </c>
      <c r="B19" s="72">
        <v>219</v>
      </c>
      <c r="C19" s="72"/>
      <c r="D19" s="73"/>
      <c r="E19" s="70"/>
      <c r="F19" s="66">
        <f t="shared" si="0"/>
        <v>27</v>
      </c>
      <c r="J19" s="76" t="s">
        <v>111</v>
      </c>
      <c r="K19" s="42">
        <v>28</v>
      </c>
      <c r="L19" s="42"/>
      <c r="M19" s="42"/>
      <c r="N19" s="42"/>
      <c r="O19" s="42"/>
      <c r="P19" s="42" t="s">
        <v>79</v>
      </c>
      <c r="Q19" s="42">
        <v>28</v>
      </c>
      <c r="R19" s="42"/>
      <c r="S19" s="42"/>
    </row>
    <row r="20" spans="1:19" ht="15" x14ac:dyDescent="0.35">
      <c r="A20" s="71" t="s">
        <v>94</v>
      </c>
      <c r="B20" s="72">
        <v>539</v>
      </c>
      <c r="C20" s="70"/>
      <c r="D20" s="73"/>
      <c r="E20" s="70"/>
      <c r="F20" s="66">
        <f t="shared" si="0"/>
        <v>67</v>
      </c>
      <c r="J20" s="76" t="s">
        <v>26</v>
      </c>
      <c r="K20" s="42">
        <v>28</v>
      </c>
      <c r="L20" s="42"/>
      <c r="M20" s="42"/>
      <c r="N20" s="42"/>
      <c r="O20" s="42"/>
      <c r="P20" s="42"/>
      <c r="Q20" s="42"/>
      <c r="R20" s="44" t="s">
        <v>118</v>
      </c>
      <c r="S20" s="42">
        <v>28</v>
      </c>
    </row>
    <row r="21" spans="1:19" ht="15" x14ac:dyDescent="0.35">
      <c r="A21" s="71" t="s">
        <v>95</v>
      </c>
      <c r="B21" s="72">
        <v>207</v>
      </c>
      <c r="C21" s="70"/>
      <c r="D21" s="73"/>
      <c r="E21" s="70"/>
      <c r="F21" s="66">
        <f t="shared" si="0"/>
        <v>26</v>
      </c>
      <c r="J21" s="76" t="s">
        <v>23</v>
      </c>
      <c r="K21" s="42">
        <v>27</v>
      </c>
      <c r="L21" s="44" t="s">
        <v>93</v>
      </c>
      <c r="M21" s="42">
        <v>27</v>
      </c>
      <c r="N21" s="42"/>
      <c r="O21" s="42"/>
      <c r="P21" s="42"/>
      <c r="Q21" s="42"/>
      <c r="R21" s="42"/>
      <c r="S21" s="42"/>
    </row>
    <row r="22" spans="1:19" ht="15" x14ac:dyDescent="0.35">
      <c r="A22" s="71" t="s">
        <v>96</v>
      </c>
      <c r="B22" s="72">
        <v>425</v>
      </c>
      <c r="C22" s="70"/>
      <c r="D22" s="73"/>
      <c r="E22" s="70"/>
      <c r="F22" s="66">
        <f t="shared" si="0"/>
        <v>53</v>
      </c>
      <c r="J22" s="76" t="s">
        <v>56</v>
      </c>
      <c r="K22" s="42">
        <v>23</v>
      </c>
      <c r="L22" s="43" t="s">
        <v>78</v>
      </c>
      <c r="M22" s="42">
        <v>20</v>
      </c>
      <c r="N22" s="43" t="s">
        <v>77</v>
      </c>
      <c r="O22" s="42">
        <v>3</v>
      </c>
      <c r="P22" s="42"/>
      <c r="Q22" s="42"/>
      <c r="R22" s="42"/>
      <c r="S22" s="42"/>
    </row>
    <row r="23" spans="1:19" ht="15" x14ac:dyDescent="0.35">
      <c r="A23" s="71" t="s">
        <v>97</v>
      </c>
      <c r="B23" s="72">
        <v>115</v>
      </c>
      <c r="C23" s="72"/>
      <c r="D23" s="73"/>
      <c r="E23" s="70"/>
      <c r="F23" s="66">
        <f t="shared" si="0"/>
        <v>14</v>
      </c>
      <c r="J23" s="76" t="s">
        <v>64</v>
      </c>
      <c r="K23" s="42">
        <v>28</v>
      </c>
      <c r="L23" s="42"/>
      <c r="M23" s="42"/>
      <c r="N23" s="42"/>
      <c r="O23" s="42"/>
      <c r="P23" s="42"/>
      <c r="Q23" s="42"/>
      <c r="R23" s="44" t="s">
        <v>118</v>
      </c>
      <c r="S23" s="42">
        <v>28</v>
      </c>
    </row>
    <row r="24" spans="1:19" ht="15" x14ac:dyDescent="0.35">
      <c r="A24" s="67" t="s">
        <v>98</v>
      </c>
      <c r="B24" s="68">
        <v>154</v>
      </c>
      <c r="C24" s="68"/>
      <c r="D24" s="69"/>
      <c r="E24" s="70"/>
      <c r="F24" s="66">
        <f t="shared" si="0"/>
        <v>19</v>
      </c>
      <c r="J24" s="76" t="s">
        <v>28</v>
      </c>
      <c r="K24" s="42">
        <v>7</v>
      </c>
      <c r="L24" s="42"/>
      <c r="M24" s="42"/>
      <c r="N24" s="42"/>
      <c r="O24" s="42"/>
      <c r="P24" s="42" t="s">
        <v>79</v>
      </c>
      <c r="Q24" s="42">
        <v>7</v>
      </c>
      <c r="R24" s="42"/>
      <c r="S24" s="42"/>
    </row>
    <row r="25" spans="1:19" ht="15" x14ac:dyDescent="0.3">
      <c r="A25" s="64" t="s">
        <v>99</v>
      </c>
      <c r="B25" s="65">
        <v>3939</v>
      </c>
      <c r="C25" s="65">
        <v>1595</v>
      </c>
      <c r="D25" s="65">
        <v>0</v>
      </c>
      <c r="E25" s="65">
        <v>5000</v>
      </c>
      <c r="J25" s="76" t="s">
        <v>11</v>
      </c>
      <c r="K25" s="42">
        <v>21</v>
      </c>
      <c r="L25" s="42"/>
      <c r="M25" s="42"/>
      <c r="N25" s="42"/>
      <c r="O25" s="42"/>
      <c r="P25" s="42"/>
      <c r="Q25" s="42"/>
      <c r="R25" s="44" t="s">
        <v>118</v>
      </c>
      <c r="S25" s="42">
        <v>21</v>
      </c>
    </row>
    <row r="26" spans="1:19" ht="15" x14ac:dyDescent="0.3">
      <c r="A26" s="105">
        <v>10534</v>
      </c>
      <c r="B26" s="106"/>
      <c r="C26" s="106"/>
      <c r="D26" s="106"/>
      <c r="E26" s="107"/>
      <c r="J26" s="76" t="s">
        <v>52</v>
      </c>
      <c r="K26" s="42">
        <v>28</v>
      </c>
      <c r="L26" s="42"/>
      <c r="M26" s="42"/>
      <c r="N26" s="42"/>
      <c r="O26" s="42"/>
      <c r="P26" s="42"/>
      <c r="Q26" s="42"/>
      <c r="R26" s="44" t="s">
        <v>118</v>
      </c>
      <c r="S26" s="42">
        <v>28</v>
      </c>
    </row>
    <row r="27" spans="1:19" ht="15" x14ac:dyDescent="0.3">
      <c r="A27" s="63"/>
      <c r="B27" s="63"/>
      <c r="C27" s="63"/>
      <c r="D27" s="63"/>
      <c r="E27" s="63"/>
      <c r="J27" s="76" t="s">
        <v>27</v>
      </c>
      <c r="K27" s="42">
        <v>28</v>
      </c>
      <c r="L27" s="42"/>
      <c r="M27" s="42"/>
      <c r="N27" s="42"/>
      <c r="O27" s="42"/>
      <c r="P27" s="42"/>
      <c r="Q27" s="42"/>
      <c r="R27" s="44" t="s">
        <v>118</v>
      </c>
      <c r="S27" s="42">
        <v>28</v>
      </c>
    </row>
    <row r="28" spans="1:19" ht="15" x14ac:dyDescent="0.3">
      <c r="A28" s="63" t="s">
        <v>129</v>
      </c>
      <c r="B28" s="63"/>
      <c r="C28" s="63"/>
      <c r="D28" s="63"/>
      <c r="E28" s="63"/>
      <c r="J28" s="76" t="s">
        <v>105</v>
      </c>
      <c r="K28" s="42">
        <v>24</v>
      </c>
      <c r="L28" s="43" t="s">
        <v>87</v>
      </c>
      <c r="M28" s="42">
        <v>10</v>
      </c>
      <c r="N28" s="43" t="s">
        <v>88</v>
      </c>
      <c r="O28" s="42">
        <v>14</v>
      </c>
      <c r="P28" s="42"/>
      <c r="Q28" s="42"/>
      <c r="R28" s="42"/>
      <c r="S28" s="42"/>
    </row>
    <row r="29" spans="1:19" ht="15" x14ac:dyDescent="0.3">
      <c r="A29" s="63" t="s">
        <v>130</v>
      </c>
      <c r="B29" s="63"/>
      <c r="C29" s="63"/>
      <c r="D29" s="63"/>
      <c r="E29" s="63"/>
      <c r="J29" s="76" t="s">
        <v>122</v>
      </c>
      <c r="K29" s="42">
        <v>26</v>
      </c>
      <c r="L29" s="44" t="s">
        <v>95</v>
      </c>
      <c r="M29" s="42">
        <v>26</v>
      </c>
      <c r="N29" s="42"/>
      <c r="O29" s="42"/>
      <c r="P29" s="42"/>
      <c r="Q29" s="42"/>
      <c r="R29" s="42"/>
      <c r="S29" s="42"/>
    </row>
    <row r="30" spans="1:19" ht="15" x14ac:dyDescent="0.3">
      <c r="J30" s="76" t="s">
        <v>30</v>
      </c>
      <c r="K30" s="42">
        <v>26</v>
      </c>
      <c r="L30" s="42"/>
      <c r="M30" s="42"/>
      <c r="N30" s="42"/>
      <c r="O30" s="42"/>
      <c r="P30" s="42"/>
      <c r="Q30" s="42"/>
      <c r="R30" s="44" t="s">
        <v>118</v>
      </c>
      <c r="S30" s="42">
        <v>26</v>
      </c>
    </row>
    <row r="31" spans="1:19" ht="15" x14ac:dyDescent="0.3">
      <c r="J31" s="76" t="s">
        <v>7</v>
      </c>
      <c r="K31" s="42">
        <v>28</v>
      </c>
      <c r="L31" s="42"/>
      <c r="M31" s="42"/>
      <c r="N31" s="42"/>
      <c r="O31" s="42"/>
      <c r="P31" s="42"/>
      <c r="Q31" s="42"/>
      <c r="R31" s="44" t="s">
        <v>118</v>
      </c>
      <c r="S31" s="42">
        <v>28</v>
      </c>
    </row>
    <row r="32" spans="1:19" ht="15" x14ac:dyDescent="0.3">
      <c r="J32" s="76" t="s">
        <v>68</v>
      </c>
      <c r="K32" s="42">
        <v>28</v>
      </c>
      <c r="L32" s="42"/>
      <c r="M32" s="42"/>
      <c r="N32" s="42"/>
      <c r="O32" s="42"/>
      <c r="P32" s="42"/>
      <c r="Q32" s="42"/>
      <c r="R32" s="44" t="s">
        <v>118</v>
      </c>
      <c r="S32" s="42">
        <v>28</v>
      </c>
    </row>
    <row r="33" spans="10:19" ht="15" x14ac:dyDescent="0.3">
      <c r="J33" s="76" t="s">
        <v>29</v>
      </c>
      <c r="K33" s="42">
        <v>28</v>
      </c>
      <c r="L33" s="42"/>
      <c r="M33" s="42"/>
      <c r="N33" s="42"/>
      <c r="O33" s="42"/>
      <c r="P33" s="42"/>
      <c r="Q33" s="42"/>
      <c r="R33" s="44" t="s">
        <v>118</v>
      </c>
      <c r="S33" s="42">
        <v>28</v>
      </c>
    </row>
    <row r="34" spans="10:19" ht="15" x14ac:dyDescent="0.3">
      <c r="J34" s="76" t="s">
        <v>110</v>
      </c>
      <c r="K34" s="42">
        <v>22</v>
      </c>
      <c r="L34" s="44" t="s">
        <v>94</v>
      </c>
      <c r="M34" s="42">
        <v>22</v>
      </c>
      <c r="N34" s="42"/>
      <c r="O34" s="42"/>
      <c r="P34" s="42"/>
      <c r="Q34" s="42"/>
      <c r="R34" s="42"/>
      <c r="S34" s="42"/>
    </row>
    <row r="35" spans="10:19" ht="15" x14ac:dyDescent="0.3">
      <c r="J35" s="76" t="s">
        <v>8</v>
      </c>
      <c r="K35" s="42">
        <v>25</v>
      </c>
      <c r="L35" s="42"/>
      <c r="M35" s="42"/>
      <c r="N35" s="42"/>
      <c r="O35" s="42"/>
      <c r="P35" s="42"/>
      <c r="Q35" s="42"/>
      <c r="R35" s="44" t="s">
        <v>118</v>
      </c>
      <c r="S35" s="42">
        <v>25</v>
      </c>
    </row>
    <row r="36" spans="10:19" ht="15" x14ac:dyDescent="0.3">
      <c r="J36" s="76" t="s">
        <v>65</v>
      </c>
      <c r="K36" s="42">
        <v>24</v>
      </c>
      <c r="L36" s="42"/>
      <c r="M36" s="42"/>
      <c r="N36" s="42"/>
      <c r="O36" s="42"/>
      <c r="P36" s="42"/>
      <c r="Q36" s="42"/>
      <c r="R36" s="44" t="s">
        <v>118</v>
      </c>
      <c r="S36" s="42">
        <v>24</v>
      </c>
    </row>
    <row r="37" spans="10:19" ht="15" x14ac:dyDescent="0.3">
      <c r="J37" s="76" t="s">
        <v>25</v>
      </c>
      <c r="K37" s="42">
        <v>27</v>
      </c>
      <c r="L37" s="43" t="s">
        <v>89</v>
      </c>
      <c r="M37" s="42">
        <v>13</v>
      </c>
      <c r="N37" s="44" t="s">
        <v>97</v>
      </c>
      <c r="O37" s="42">
        <v>14</v>
      </c>
      <c r="P37" s="42"/>
      <c r="Q37" s="42"/>
      <c r="R37" s="42"/>
      <c r="S37" s="42"/>
    </row>
    <row r="38" spans="10:19" ht="15" x14ac:dyDescent="0.3">
      <c r="J38" s="76" t="s">
        <v>66</v>
      </c>
      <c r="K38" s="42">
        <v>25</v>
      </c>
      <c r="L38" s="42"/>
      <c r="M38" s="42"/>
      <c r="N38" s="42"/>
      <c r="O38" s="42"/>
      <c r="P38" s="42"/>
      <c r="Q38" s="42"/>
      <c r="R38" s="44" t="s">
        <v>118</v>
      </c>
      <c r="S38" s="42">
        <v>25</v>
      </c>
    </row>
    <row r="39" spans="10:19" ht="15" x14ac:dyDescent="0.3">
      <c r="J39" s="76" t="s">
        <v>72</v>
      </c>
      <c r="K39" s="42">
        <v>26</v>
      </c>
      <c r="L39" s="42"/>
      <c r="M39" s="42"/>
      <c r="N39" s="42"/>
      <c r="O39" s="42"/>
      <c r="P39" s="42"/>
      <c r="Q39" s="42"/>
      <c r="R39" s="44" t="s">
        <v>118</v>
      </c>
      <c r="S39" s="42">
        <v>26</v>
      </c>
    </row>
    <row r="40" spans="10:19" ht="15" x14ac:dyDescent="0.3">
      <c r="J40" s="76" t="s">
        <v>115</v>
      </c>
      <c r="K40" s="42">
        <v>28</v>
      </c>
      <c r="L40" s="42"/>
      <c r="M40" s="42"/>
      <c r="N40" s="42"/>
      <c r="O40" s="42"/>
      <c r="P40" s="42"/>
      <c r="Q40" s="42"/>
      <c r="R40" s="44" t="s">
        <v>118</v>
      </c>
      <c r="S40" s="42">
        <v>28</v>
      </c>
    </row>
    <row r="41" spans="10:19" ht="15" x14ac:dyDescent="0.3">
      <c r="J41" s="76" t="s">
        <v>63</v>
      </c>
      <c r="K41" s="42">
        <v>28</v>
      </c>
      <c r="L41" s="42"/>
      <c r="M41" s="42"/>
      <c r="N41" s="42"/>
      <c r="O41" s="42"/>
      <c r="P41" s="42"/>
      <c r="Q41" s="42"/>
      <c r="R41" s="44" t="s">
        <v>118</v>
      </c>
      <c r="S41" s="42">
        <v>28</v>
      </c>
    </row>
    <row r="42" spans="10:19" ht="15" x14ac:dyDescent="0.3">
      <c r="J42" s="76" t="s">
        <v>57</v>
      </c>
      <c r="K42" s="42">
        <v>24</v>
      </c>
      <c r="L42" s="42"/>
      <c r="M42" s="42"/>
      <c r="N42" s="42"/>
      <c r="O42" s="42"/>
      <c r="P42" s="42"/>
      <c r="Q42" s="42"/>
      <c r="R42" s="44" t="s">
        <v>118</v>
      </c>
      <c r="S42" s="42">
        <v>24</v>
      </c>
    </row>
    <row r="43" spans="10:19" ht="15" x14ac:dyDescent="0.3">
      <c r="J43" s="76" t="s">
        <v>58</v>
      </c>
      <c r="K43" s="42">
        <v>27</v>
      </c>
      <c r="L43" s="42"/>
      <c r="M43" s="42"/>
      <c r="N43" s="42"/>
      <c r="O43" s="42"/>
      <c r="P43" s="42"/>
      <c r="Q43" s="42"/>
      <c r="R43" s="44" t="s">
        <v>118</v>
      </c>
      <c r="S43" s="42">
        <v>27</v>
      </c>
    </row>
    <row r="44" spans="10:19" ht="15" x14ac:dyDescent="0.3">
      <c r="J44" s="76" t="s">
        <v>53</v>
      </c>
      <c r="K44" s="42">
        <v>27</v>
      </c>
      <c r="L44" s="42"/>
      <c r="M44" s="42"/>
      <c r="N44" s="42"/>
      <c r="O44" s="42"/>
      <c r="P44" s="42"/>
      <c r="Q44" s="42"/>
      <c r="R44" s="44" t="s">
        <v>118</v>
      </c>
      <c r="S44" s="42">
        <v>27</v>
      </c>
    </row>
    <row r="45" spans="10:19" ht="15" x14ac:dyDescent="0.3">
      <c r="J45" s="76" t="s">
        <v>67</v>
      </c>
      <c r="K45" s="42">
        <v>28</v>
      </c>
      <c r="L45" s="42"/>
      <c r="M45" s="42"/>
      <c r="N45" s="42"/>
      <c r="O45" s="42"/>
      <c r="P45" s="42"/>
      <c r="Q45" s="42"/>
      <c r="R45" s="44" t="s">
        <v>118</v>
      </c>
      <c r="S45" s="42">
        <v>28</v>
      </c>
    </row>
    <row r="46" spans="10:19" ht="15" x14ac:dyDescent="0.3">
      <c r="J46" s="76" t="s">
        <v>123</v>
      </c>
      <c r="K46" s="42">
        <v>24</v>
      </c>
      <c r="L46" s="43" t="s">
        <v>84</v>
      </c>
      <c r="M46" s="42">
        <v>19</v>
      </c>
      <c r="N46" s="43" t="s">
        <v>77</v>
      </c>
      <c r="O46" s="42">
        <v>5</v>
      </c>
      <c r="P46" s="42"/>
      <c r="Q46" s="42"/>
      <c r="R46" s="42"/>
      <c r="S46" s="42"/>
    </row>
    <row r="47" spans="10:19" ht="15" x14ac:dyDescent="0.3">
      <c r="J47" s="76" t="s">
        <v>113</v>
      </c>
      <c r="K47" s="42">
        <v>26</v>
      </c>
      <c r="L47" s="42"/>
      <c r="M47" s="42"/>
      <c r="N47" s="42"/>
      <c r="O47" s="42"/>
      <c r="P47" s="42"/>
      <c r="Q47" s="42"/>
      <c r="R47" s="44" t="s">
        <v>118</v>
      </c>
      <c r="S47" s="42">
        <v>26</v>
      </c>
    </row>
    <row r="48" spans="10:19" ht="15" x14ac:dyDescent="0.3">
      <c r="J48" s="76" t="s">
        <v>59</v>
      </c>
      <c r="K48" s="42">
        <v>28</v>
      </c>
      <c r="L48" s="42"/>
      <c r="M48" s="42"/>
      <c r="N48" s="42"/>
      <c r="O48" s="42"/>
      <c r="P48" s="42"/>
      <c r="Q48" s="42"/>
      <c r="R48" s="44" t="s">
        <v>118</v>
      </c>
      <c r="S48" s="42">
        <v>28</v>
      </c>
    </row>
    <row r="49" spans="10:19" ht="15" x14ac:dyDescent="0.3">
      <c r="J49" s="76" t="s">
        <v>9</v>
      </c>
      <c r="K49" s="42">
        <v>26</v>
      </c>
      <c r="L49" s="42"/>
      <c r="M49" s="42"/>
      <c r="N49" s="42"/>
      <c r="O49" s="42"/>
      <c r="P49" s="42"/>
      <c r="Q49" s="42"/>
      <c r="R49" s="44" t="s">
        <v>118</v>
      </c>
      <c r="S49" s="42">
        <v>26</v>
      </c>
    </row>
    <row r="50" spans="10:19" ht="15" x14ac:dyDescent="0.3">
      <c r="J50" s="76" t="s">
        <v>10</v>
      </c>
      <c r="K50" s="42">
        <v>27</v>
      </c>
      <c r="L50" s="42"/>
      <c r="M50" s="42"/>
      <c r="N50" s="42"/>
      <c r="O50" s="42"/>
      <c r="P50" s="42"/>
      <c r="Q50" s="42"/>
      <c r="R50" s="44" t="s">
        <v>118</v>
      </c>
      <c r="S50" s="42">
        <v>27</v>
      </c>
    </row>
    <row r="51" spans="10:19" ht="15" x14ac:dyDescent="0.3">
      <c r="J51" s="76" t="s">
        <v>106</v>
      </c>
      <c r="K51" s="42">
        <v>27</v>
      </c>
      <c r="L51" s="42"/>
      <c r="M51" s="42"/>
      <c r="N51" s="42"/>
      <c r="O51" s="42"/>
      <c r="P51" s="42"/>
      <c r="Q51" s="42"/>
      <c r="R51" s="44" t="s">
        <v>118</v>
      </c>
      <c r="S51" s="42">
        <v>27</v>
      </c>
    </row>
    <row r="52" spans="10:19" ht="15" x14ac:dyDescent="0.3">
      <c r="J52" s="76" t="s">
        <v>60</v>
      </c>
      <c r="K52" s="42">
        <v>28</v>
      </c>
      <c r="L52" s="42"/>
      <c r="M52" s="42"/>
      <c r="N52" s="42"/>
      <c r="O52" s="42"/>
      <c r="P52" s="42"/>
      <c r="Q52" s="42"/>
      <c r="R52" s="44" t="s">
        <v>118</v>
      </c>
      <c r="S52" s="42">
        <v>28</v>
      </c>
    </row>
    <row r="53" spans="10:19" ht="15" x14ac:dyDescent="0.3">
      <c r="J53" s="76" t="s">
        <v>54</v>
      </c>
      <c r="K53" s="42">
        <v>23</v>
      </c>
      <c r="L53" s="43" t="s">
        <v>86</v>
      </c>
      <c r="M53" s="42">
        <v>21</v>
      </c>
      <c r="N53" s="43" t="s">
        <v>77</v>
      </c>
      <c r="O53" s="42">
        <v>2</v>
      </c>
      <c r="P53" s="42"/>
      <c r="Q53" s="42"/>
      <c r="R53" s="42"/>
      <c r="S53" s="42"/>
    </row>
    <row r="54" spans="10:19" ht="15" x14ac:dyDescent="0.3">
      <c r="J54" s="76" t="s">
        <v>114</v>
      </c>
      <c r="K54" s="42">
        <v>27</v>
      </c>
      <c r="L54" s="43" t="s">
        <v>90</v>
      </c>
      <c r="M54" s="42">
        <v>16</v>
      </c>
      <c r="N54" s="43" t="s">
        <v>77</v>
      </c>
      <c r="O54" s="42">
        <v>11</v>
      </c>
      <c r="P54" s="42"/>
      <c r="Q54" s="42"/>
      <c r="R54" s="42"/>
      <c r="S54" s="42"/>
    </row>
    <row r="55" spans="10:19" ht="15" x14ac:dyDescent="0.3">
      <c r="J55" s="76" t="s">
        <v>24</v>
      </c>
      <c r="K55" s="42">
        <v>27</v>
      </c>
      <c r="L55" s="43" t="s">
        <v>91</v>
      </c>
      <c r="M55" s="42">
        <v>16</v>
      </c>
      <c r="N55" s="43" t="s">
        <v>77</v>
      </c>
      <c r="O55" s="42">
        <v>11</v>
      </c>
      <c r="P55" s="42"/>
      <c r="Q55" s="42"/>
      <c r="R55" s="42"/>
      <c r="S55" s="42"/>
    </row>
    <row r="56" spans="10:19" ht="28.8" x14ac:dyDescent="0.3">
      <c r="J56" s="76" t="s">
        <v>127</v>
      </c>
      <c r="K56" s="42">
        <v>27</v>
      </c>
      <c r="L56" s="43" t="s">
        <v>92</v>
      </c>
      <c r="M56" s="42">
        <v>16</v>
      </c>
      <c r="N56" s="43" t="s">
        <v>77</v>
      </c>
      <c r="O56" s="42">
        <v>11</v>
      </c>
      <c r="P56" s="42"/>
      <c r="Q56" s="42"/>
      <c r="R56" s="42"/>
      <c r="S56" s="42"/>
    </row>
  </sheetData>
  <mergeCells count="6">
    <mergeCell ref="A1:E1"/>
    <mergeCell ref="A26:E26"/>
    <mergeCell ref="L3:M3"/>
    <mergeCell ref="P3:Q3"/>
    <mergeCell ref="R3:S3"/>
    <mergeCell ref="N3:O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9299-1D4F-4728-A431-3FA4D6A4D5A3}">
  <dimension ref="A1:X55"/>
  <sheetViews>
    <sheetView topLeftCell="A6" workbookViewId="0">
      <selection activeCell="H30" sqref="H30"/>
    </sheetView>
  </sheetViews>
  <sheetFormatPr defaultColWidth="8.77734375" defaultRowHeight="15" x14ac:dyDescent="0.3"/>
  <cols>
    <col min="1" max="4" width="8.77734375" style="28"/>
    <col min="5" max="5" width="12.77734375" style="28" customWidth="1"/>
    <col min="6" max="7" width="8.77734375" style="28"/>
    <col min="8" max="8" width="25.21875" style="28" bestFit="1" customWidth="1"/>
    <col min="9" max="17" width="8.77734375" style="28"/>
    <col min="18" max="18" width="28.109375" customWidth="1"/>
    <col min="19" max="24" width="8.88671875" customWidth="1"/>
    <col min="25" max="16384" width="8.77734375" style="28"/>
  </cols>
  <sheetData>
    <row r="1" spans="1:17" ht="15.6" thickBot="1" x14ac:dyDescent="0.35">
      <c r="A1" s="109" t="s">
        <v>117</v>
      </c>
      <c r="B1" s="110"/>
      <c r="C1" s="110"/>
      <c r="D1" s="110"/>
      <c r="E1" s="110"/>
      <c r="F1" s="32">
        <v>8</v>
      </c>
    </row>
    <row r="2" spans="1:17" ht="60" x14ac:dyDescent="0.3">
      <c r="A2" s="26" t="s">
        <v>73</v>
      </c>
      <c r="B2" s="26" t="s">
        <v>74</v>
      </c>
      <c r="C2" s="26" t="s">
        <v>75</v>
      </c>
      <c r="D2" s="33" t="s">
        <v>76</v>
      </c>
      <c r="E2" s="26" t="s">
        <v>118</v>
      </c>
      <c r="F2" s="34" t="s">
        <v>119</v>
      </c>
      <c r="H2" s="45"/>
      <c r="I2" s="46"/>
      <c r="J2" s="114" t="s">
        <v>74</v>
      </c>
      <c r="K2" s="114"/>
      <c r="L2" s="114"/>
      <c r="M2" s="114"/>
      <c r="N2" s="46" t="s">
        <v>75</v>
      </c>
      <c r="O2" s="46"/>
      <c r="P2" s="46" t="s">
        <v>118</v>
      </c>
      <c r="Q2" s="47"/>
    </row>
    <row r="3" spans="1:17" x14ac:dyDescent="0.3">
      <c r="A3" s="35" t="s">
        <v>77</v>
      </c>
      <c r="B3" s="36">
        <v>347</v>
      </c>
      <c r="C3" s="36"/>
      <c r="D3" s="41"/>
      <c r="E3" s="36">
        <v>4280</v>
      </c>
      <c r="F3" s="38">
        <f>ROUND(B3/$F$1,0)</f>
        <v>43</v>
      </c>
      <c r="G3" s="28">
        <f>ROUND(E3/F1,0)</f>
        <v>535</v>
      </c>
      <c r="H3" s="48" t="s">
        <v>109</v>
      </c>
      <c r="I3" s="42">
        <v>29</v>
      </c>
      <c r="J3" s="42"/>
      <c r="K3" s="42"/>
      <c r="L3" s="42"/>
      <c r="M3" s="42"/>
      <c r="N3" s="42" t="s">
        <v>85</v>
      </c>
      <c r="O3" s="42">
        <v>29</v>
      </c>
      <c r="P3" s="42"/>
      <c r="Q3" s="49"/>
    </row>
    <row r="4" spans="1:17" x14ac:dyDescent="0.3">
      <c r="A4" s="35" t="s">
        <v>78</v>
      </c>
      <c r="B4" s="36">
        <v>159</v>
      </c>
      <c r="C4" s="36"/>
      <c r="D4" s="37"/>
      <c r="E4" s="36"/>
      <c r="F4" s="38">
        <f t="shared" ref="F4:F24" si="0">ROUND(B4/$F$1,0)</f>
        <v>20</v>
      </c>
      <c r="H4" s="48" t="s">
        <v>108</v>
      </c>
      <c r="I4" s="42">
        <v>30</v>
      </c>
      <c r="J4" s="42"/>
      <c r="K4" s="42"/>
      <c r="L4" s="42"/>
      <c r="M4" s="42"/>
      <c r="N4" s="42" t="s">
        <v>85</v>
      </c>
      <c r="O4" s="42">
        <v>30</v>
      </c>
      <c r="P4" s="42"/>
      <c r="Q4" s="49"/>
    </row>
    <row r="5" spans="1:17" x14ac:dyDescent="0.3">
      <c r="A5" s="35" t="s">
        <v>79</v>
      </c>
      <c r="B5" s="36">
        <v>199</v>
      </c>
      <c r="C5" s="36"/>
      <c r="D5" s="37"/>
      <c r="E5" s="36"/>
      <c r="F5" s="38">
        <f t="shared" si="0"/>
        <v>25</v>
      </c>
      <c r="H5" s="48" t="s">
        <v>22</v>
      </c>
      <c r="I5" s="42">
        <v>28</v>
      </c>
      <c r="J5" s="42"/>
      <c r="K5" s="42"/>
      <c r="L5" s="42"/>
      <c r="M5" s="42"/>
      <c r="N5" s="42" t="s">
        <v>85</v>
      </c>
      <c r="O5" s="42">
        <v>28</v>
      </c>
      <c r="P5" s="42"/>
      <c r="Q5" s="49"/>
    </row>
    <row r="6" spans="1:17" x14ac:dyDescent="0.3">
      <c r="A6" s="35" t="s">
        <v>80</v>
      </c>
      <c r="B6" s="36">
        <v>97</v>
      </c>
      <c r="C6" s="36"/>
      <c r="D6" s="37"/>
      <c r="E6" s="36"/>
      <c r="F6" s="38">
        <f t="shared" si="0"/>
        <v>12</v>
      </c>
      <c r="H6" s="48" t="s">
        <v>21</v>
      </c>
      <c r="I6" s="42">
        <v>23</v>
      </c>
      <c r="J6" s="43" t="s">
        <v>85</v>
      </c>
      <c r="K6" s="42">
        <v>23</v>
      </c>
      <c r="L6" s="42"/>
      <c r="M6" s="42"/>
      <c r="N6" s="42"/>
      <c r="O6" s="42"/>
      <c r="P6" s="42"/>
      <c r="Q6" s="49"/>
    </row>
    <row r="7" spans="1:17" x14ac:dyDescent="0.3">
      <c r="A7" s="35" t="s">
        <v>81</v>
      </c>
      <c r="B7" s="36">
        <v>94</v>
      </c>
      <c r="C7" s="36"/>
      <c r="D7" s="37"/>
      <c r="E7" s="36"/>
      <c r="F7" s="38">
        <f t="shared" si="0"/>
        <v>12</v>
      </c>
      <c r="H7" s="48" t="s">
        <v>12</v>
      </c>
      <c r="I7" s="42">
        <v>31</v>
      </c>
      <c r="J7" s="43" t="s">
        <v>86</v>
      </c>
      <c r="K7" s="42">
        <v>21</v>
      </c>
      <c r="L7" s="43" t="s">
        <v>87</v>
      </c>
      <c r="M7" s="42">
        <v>10</v>
      </c>
      <c r="N7" s="42"/>
      <c r="O7" s="42"/>
      <c r="P7" s="42"/>
      <c r="Q7" s="49"/>
    </row>
    <row r="8" spans="1:17" x14ac:dyDescent="0.3">
      <c r="A8" s="35" t="s">
        <v>82</v>
      </c>
      <c r="B8" s="36">
        <v>112</v>
      </c>
      <c r="C8" s="36"/>
      <c r="D8" s="41"/>
      <c r="E8" s="36"/>
      <c r="F8" s="38">
        <f t="shared" si="0"/>
        <v>14</v>
      </c>
      <c r="H8" s="48" t="s">
        <v>104</v>
      </c>
      <c r="I8" s="42">
        <v>28</v>
      </c>
      <c r="J8" s="42"/>
      <c r="K8" s="42"/>
      <c r="L8" s="42"/>
      <c r="M8" s="42"/>
      <c r="N8" s="42" t="s">
        <v>85</v>
      </c>
      <c r="O8" s="42">
        <v>28</v>
      </c>
      <c r="P8" s="42"/>
      <c r="Q8" s="49"/>
    </row>
    <row r="9" spans="1:17" x14ac:dyDescent="0.3">
      <c r="A9" s="35" t="s">
        <v>83</v>
      </c>
      <c r="B9" s="36">
        <v>104</v>
      </c>
      <c r="C9" s="36"/>
      <c r="D9" s="37"/>
      <c r="E9" s="36"/>
      <c r="F9" s="38">
        <f t="shared" si="0"/>
        <v>13</v>
      </c>
      <c r="H9" s="48" t="s">
        <v>61</v>
      </c>
      <c r="I9" s="42">
        <v>28</v>
      </c>
      <c r="J9" s="42"/>
      <c r="K9" s="42"/>
      <c r="L9" s="42"/>
      <c r="M9" s="42"/>
      <c r="N9" s="42" t="s">
        <v>85</v>
      </c>
      <c r="O9" s="42">
        <v>28</v>
      </c>
      <c r="P9" s="42"/>
      <c r="Q9" s="49"/>
    </row>
    <row r="10" spans="1:17" x14ac:dyDescent="0.3">
      <c r="A10" s="35" t="s">
        <v>84</v>
      </c>
      <c r="B10" s="36">
        <v>150</v>
      </c>
      <c r="C10" s="36"/>
      <c r="D10" s="37"/>
      <c r="E10" s="36"/>
      <c r="F10" s="38">
        <f t="shared" si="0"/>
        <v>19</v>
      </c>
      <c r="H10" s="48" t="s">
        <v>55</v>
      </c>
      <c r="I10" s="42">
        <v>31</v>
      </c>
      <c r="J10" s="42"/>
      <c r="K10" s="42"/>
      <c r="L10" s="42"/>
      <c r="M10" s="42"/>
      <c r="N10" s="42" t="s">
        <v>85</v>
      </c>
      <c r="O10" s="42">
        <v>31</v>
      </c>
      <c r="P10" s="42"/>
      <c r="Q10" s="49"/>
    </row>
    <row r="11" spans="1:17" x14ac:dyDescent="0.3">
      <c r="A11" s="35" t="s">
        <v>85</v>
      </c>
      <c r="B11" s="36">
        <v>183</v>
      </c>
      <c r="C11" s="36">
        <v>1464</v>
      </c>
      <c r="D11" s="37"/>
      <c r="E11" s="36"/>
      <c r="F11" s="38">
        <f t="shared" si="0"/>
        <v>23</v>
      </c>
      <c r="G11" s="28">
        <f>ROUND(C11/$F$1,0)</f>
        <v>183</v>
      </c>
      <c r="H11" s="48" t="s">
        <v>101</v>
      </c>
      <c r="I11" s="42">
        <v>22</v>
      </c>
      <c r="J11" s="42" t="s">
        <v>77</v>
      </c>
      <c r="K11" s="42">
        <v>22</v>
      </c>
      <c r="L11" s="42"/>
      <c r="M11" s="42"/>
      <c r="N11" s="42"/>
      <c r="O11" s="42"/>
      <c r="P11" s="42"/>
      <c r="Q11" s="49"/>
    </row>
    <row r="12" spans="1:17" x14ac:dyDescent="0.3">
      <c r="A12" s="35" t="s">
        <v>86</v>
      </c>
      <c r="B12" s="36">
        <v>164</v>
      </c>
      <c r="C12" s="36">
        <v>1309</v>
      </c>
      <c r="D12" s="37"/>
      <c r="E12" s="36"/>
      <c r="F12" s="38">
        <f t="shared" si="0"/>
        <v>21</v>
      </c>
      <c r="G12" s="28">
        <f>ROUND(C12/$F$1,0)</f>
        <v>164</v>
      </c>
      <c r="H12" s="48" t="s">
        <v>71</v>
      </c>
      <c r="I12" s="42">
        <v>30</v>
      </c>
      <c r="J12" s="42"/>
      <c r="K12" s="42"/>
      <c r="L12" s="42"/>
      <c r="M12" s="42"/>
      <c r="N12" s="42" t="s">
        <v>86</v>
      </c>
      <c r="O12" s="42">
        <v>30</v>
      </c>
      <c r="P12" s="42"/>
      <c r="Q12" s="49"/>
    </row>
    <row r="13" spans="1:17" x14ac:dyDescent="0.3">
      <c r="A13" s="35" t="s">
        <v>87</v>
      </c>
      <c r="B13" s="36">
        <v>77</v>
      </c>
      <c r="C13" s="36"/>
      <c r="D13" s="37"/>
      <c r="E13" s="36"/>
      <c r="F13" s="38">
        <f t="shared" si="0"/>
        <v>10</v>
      </c>
      <c r="H13" s="48" t="s">
        <v>70</v>
      </c>
      <c r="I13" s="42">
        <v>28</v>
      </c>
      <c r="J13" s="42"/>
      <c r="K13" s="42"/>
      <c r="L13" s="42"/>
      <c r="M13" s="42"/>
      <c r="N13" s="42" t="s">
        <v>86</v>
      </c>
      <c r="O13" s="42">
        <v>28</v>
      </c>
      <c r="P13" s="42"/>
      <c r="Q13" s="49"/>
    </row>
    <row r="14" spans="1:17" x14ac:dyDescent="0.3">
      <c r="A14" s="35" t="s">
        <v>88</v>
      </c>
      <c r="B14" s="36">
        <v>108</v>
      </c>
      <c r="C14" s="36"/>
      <c r="D14" s="37"/>
      <c r="E14" s="36"/>
      <c r="F14" s="38">
        <f t="shared" si="0"/>
        <v>14</v>
      </c>
      <c r="H14" s="48" t="s">
        <v>62</v>
      </c>
      <c r="I14" s="42">
        <v>29</v>
      </c>
      <c r="J14" s="42"/>
      <c r="K14" s="42"/>
      <c r="L14" s="42"/>
      <c r="M14" s="42"/>
      <c r="N14" s="42" t="s">
        <v>86</v>
      </c>
      <c r="O14" s="42">
        <v>29</v>
      </c>
      <c r="P14" s="42"/>
      <c r="Q14" s="49"/>
    </row>
    <row r="15" spans="1:17" x14ac:dyDescent="0.3">
      <c r="A15" s="35" t="s">
        <v>89</v>
      </c>
      <c r="B15" s="36">
        <v>105</v>
      </c>
      <c r="C15" s="36"/>
      <c r="D15" s="37"/>
      <c r="E15" s="36"/>
      <c r="F15" s="38">
        <f t="shared" si="0"/>
        <v>13</v>
      </c>
      <c r="H15" s="48" t="s">
        <v>102</v>
      </c>
      <c r="I15" s="42">
        <v>30</v>
      </c>
      <c r="J15" s="43" t="s">
        <v>91</v>
      </c>
      <c r="K15" s="42">
        <v>16</v>
      </c>
      <c r="L15" s="44" t="s">
        <v>97</v>
      </c>
      <c r="M15" s="42">
        <v>14</v>
      </c>
      <c r="N15" s="42"/>
      <c r="O15" s="42"/>
      <c r="P15" s="42"/>
      <c r="Q15" s="49"/>
    </row>
    <row r="16" spans="1:17" x14ac:dyDescent="0.3">
      <c r="A16" s="35" t="s">
        <v>90</v>
      </c>
      <c r="B16" s="36">
        <v>128</v>
      </c>
      <c r="C16" s="36"/>
      <c r="D16" s="37"/>
      <c r="E16" s="36"/>
      <c r="F16" s="38">
        <f t="shared" si="0"/>
        <v>16</v>
      </c>
      <c r="H16" s="48" t="s">
        <v>100</v>
      </c>
      <c r="I16" s="42">
        <v>27</v>
      </c>
      <c r="J16" s="44" t="s">
        <v>93</v>
      </c>
      <c r="K16" s="42">
        <v>27</v>
      </c>
      <c r="L16" s="42"/>
      <c r="M16" s="42"/>
      <c r="N16" s="42"/>
      <c r="O16" s="42"/>
      <c r="P16" s="42"/>
      <c r="Q16" s="49"/>
    </row>
    <row r="17" spans="1:18" x14ac:dyDescent="0.3">
      <c r="A17" s="35" t="s">
        <v>91</v>
      </c>
      <c r="B17" s="36">
        <v>127</v>
      </c>
      <c r="C17" s="36"/>
      <c r="D17" s="37"/>
      <c r="E17" s="36"/>
      <c r="F17" s="38">
        <f t="shared" si="0"/>
        <v>16</v>
      </c>
      <c r="H17" s="48" t="s">
        <v>2</v>
      </c>
      <c r="I17" s="42">
        <v>26</v>
      </c>
      <c r="J17" s="44" t="s">
        <v>95</v>
      </c>
      <c r="K17" s="42">
        <v>26</v>
      </c>
      <c r="L17" s="42"/>
      <c r="M17" s="42"/>
      <c r="N17" s="42"/>
      <c r="O17" s="42"/>
      <c r="P17" s="42"/>
      <c r="Q17" s="49"/>
    </row>
    <row r="18" spans="1:18" x14ac:dyDescent="0.3">
      <c r="A18" s="35" t="s">
        <v>92</v>
      </c>
      <c r="B18" s="36">
        <v>126</v>
      </c>
      <c r="C18" s="36"/>
      <c r="D18" s="37"/>
      <c r="E18" s="36"/>
      <c r="F18" s="38">
        <f t="shared" si="0"/>
        <v>16</v>
      </c>
      <c r="H18" s="48" t="s">
        <v>3</v>
      </c>
      <c r="I18" s="42">
        <v>31</v>
      </c>
      <c r="J18" s="42"/>
      <c r="K18" s="42"/>
      <c r="L18" s="42"/>
      <c r="M18" s="42"/>
      <c r="N18" s="42" t="s">
        <v>86</v>
      </c>
      <c r="O18" s="42">
        <v>31</v>
      </c>
      <c r="P18" s="42"/>
      <c r="Q18" s="49"/>
    </row>
    <row r="19" spans="1:18" x14ac:dyDescent="0.3">
      <c r="A19" s="36" t="s">
        <v>93</v>
      </c>
      <c r="B19" s="36">
        <v>219</v>
      </c>
      <c r="C19" s="36"/>
      <c r="D19" s="37"/>
      <c r="E19" s="36"/>
      <c r="F19" s="38">
        <f t="shared" si="0"/>
        <v>27</v>
      </c>
      <c r="H19" s="48" t="s">
        <v>26</v>
      </c>
      <c r="I19" s="42">
        <v>28</v>
      </c>
      <c r="J19" s="42"/>
      <c r="K19" s="42"/>
      <c r="L19" s="42"/>
      <c r="M19" s="42"/>
      <c r="N19" s="42" t="s">
        <v>86</v>
      </c>
      <c r="O19" s="42">
        <v>28</v>
      </c>
      <c r="P19" s="42"/>
      <c r="Q19" s="49"/>
    </row>
    <row r="20" spans="1:18" x14ac:dyDescent="0.3">
      <c r="A20" s="36" t="s">
        <v>94</v>
      </c>
      <c r="B20" s="36">
        <v>539</v>
      </c>
      <c r="C20" s="36"/>
      <c r="D20" s="37"/>
      <c r="E20" s="36"/>
      <c r="F20" s="38">
        <f t="shared" si="0"/>
        <v>67</v>
      </c>
      <c r="H20" s="48" t="s">
        <v>23</v>
      </c>
      <c r="I20" s="42">
        <v>27</v>
      </c>
      <c r="J20" s="43" t="s">
        <v>82</v>
      </c>
      <c r="K20" s="42">
        <v>14</v>
      </c>
      <c r="L20" s="43" t="s">
        <v>83</v>
      </c>
      <c r="M20" s="42">
        <v>13</v>
      </c>
      <c r="N20" s="42"/>
      <c r="O20" s="42"/>
      <c r="P20" s="42"/>
      <c r="Q20" s="49"/>
    </row>
    <row r="21" spans="1:18" x14ac:dyDescent="0.3">
      <c r="A21" s="36" t="s">
        <v>95</v>
      </c>
      <c r="B21" s="36">
        <v>207</v>
      </c>
      <c r="C21" s="36"/>
      <c r="D21" s="37"/>
      <c r="E21" s="36"/>
      <c r="F21" s="38">
        <f t="shared" si="0"/>
        <v>26</v>
      </c>
      <c r="H21" s="48" t="s">
        <v>56</v>
      </c>
      <c r="I21" s="42">
        <v>28</v>
      </c>
      <c r="J21" s="42"/>
      <c r="K21" s="42"/>
      <c r="L21" s="42"/>
      <c r="M21" s="42"/>
      <c r="N21" s="42"/>
      <c r="O21" s="42"/>
      <c r="P21" s="42" t="s">
        <v>77</v>
      </c>
      <c r="Q21" s="49">
        <v>28</v>
      </c>
      <c r="R21" s="34" t="s">
        <v>119</v>
      </c>
    </row>
    <row r="22" spans="1:18" x14ac:dyDescent="0.3">
      <c r="A22" s="36" t="s">
        <v>96</v>
      </c>
      <c r="B22" s="36">
        <v>425</v>
      </c>
      <c r="C22" s="36"/>
      <c r="D22" s="37"/>
      <c r="E22" s="36"/>
      <c r="F22" s="38">
        <f t="shared" si="0"/>
        <v>53</v>
      </c>
      <c r="H22" s="48" t="s">
        <v>64</v>
      </c>
      <c r="I22" s="42">
        <v>31</v>
      </c>
      <c r="J22" s="42"/>
      <c r="K22" s="42"/>
      <c r="L22" s="42"/>
      <c r="M22" s="42"/>
      <c r="N22" s="42"/>
      <c r="O22" s="42"/>
      <c r="P22" s="42" t="s">
        <v>77</v>
      </c>
      <c r="Q22" s="49">
        <v>31</v>
      </c>
    </row>
    <row r="23" spans="1:18" x14ac:dyDescent="0.3">
      <c r="A23" s="36" t="s">
        <v>97</v>
      </c>
      <c r="B23" s="36">
        <v>115</v>
      </c>
      <c r="C23" s="36"/>
      <c r="D23" s="37"/>
      <c r="E23" s="36"/>
      <c r="F23" s="38">
        <f t="shared" si="0"/>
        <v>14</v>
      </c>
      <c r="H23" s="48" t="s">
        <v>28</v>
      </c>
      <c r="I23" s="42">
        <v>28</v>
      </c>
      <c r="J23" s="42"/>
      <c r="K23" s="42"/>
      <c r="L23" s="42"/>
      <c r="M23" s="42"/>
      <c r="N23" s="42"/>
      <c r="O23" s="42"/>
      <c r="P23" s="42" t="s">
        <v>77</v>
      </c>
      <c r="Q23" s="49">
        <v>28</v>
      </c>
    </row>
    <row r="24" spans="1:18" x14ac:dyDescent="0.3">
      <c r="A24" s="39" t="s">
        <v>98</v>
      </c>
      <c r="B24" s="39">
        <v>154</v>
      </c>
      <c r="C24" s="39"/>
      <c r="D24" s="40"/>
      <c r="E24" s="36"/>
      <c r="F24" s="38">
        <f t="shared" si="0"/>
        <v>19</v>
      </c>
      <c r="H24" s="48" t="s">
        <v>11</v>
      </c>
      <c r="I24" s="42">
        <v>28</v>
      </c>
      <c r="J24" s="42"/>
      <c r="K24" s="42"/>
      <c r="L24" s="42"/>
      <c r="M24" s="42"/>
      <c r="N24" s="42"/>
      <c r="O24" s="42"/>
      <c r="P24" s="42" t="s">
        <v>77</v>
      </c>
      <c r="Q24" s="49">
        <v>28</v>
      </c>
    </row>
    <row r="25" spans="1:18" x14ac:dyDescent="0.3">
      <c r="A25" s="27" t="s">
        <v>99</v>
      </c>
      <c r="B25" s="27">
        <v>3939</v>
      </c>
      <c r="C25" s="27">
        <v>2773</v>
      </c>
      <c r="D25" s="27">
        <v>0</v>
      </c>
      <c r="E25" s="27">
        <v>4280</v>
      </c>
      <c r="F25" s="32"/>
      <c r="H25" s="48" t="s">
        <v>52</v>
      </c>
      <c r="I25" s="42">
        <v>31</v>
      </c>
      <c r="J25" s="42"/>
      <c r="K25" s="42"/>
      <c r="L25" s="42"/>
      <c r="M25" s="42"/>
      <c r="N25" s="42"/>
      <c r="O25" s="42"/>
      <c r="P25" s="42" t="s">
        <v>77</v>
      </c>
      <c r="Q25" s="49">
        <v>31</v>
      </c>
    </row>
    <row r="26" spans="1:18" x14ac:dyDescent="0.3">
      <c r="A26" s="111">
        <v>10992</v>
      </c>
      <c r="B26" s="112"/>
      <c r="C26" s="112"/>
      <c r="D26" s="112"/>
      <c r="E26" s="113"/>
      <c r="F26" s="32"/>
      <c r="H26" s="48" t="s">
        <v>27</v>
      </c>
      <c r="I26" s="42">
        <v>30</v>
      </c>
      <c r="J26" s="42"/>
      <c r="K26" s="42"/>
      <c r="L26" s="42"/>
      <c r="M26" s="42"/>
      <c r="N26" s="42"/>
      <c r="O26" s="42"/>
      <c r="P26" s="42" t="s">
        <v>77</v>
      </c>
      <c r="Q26" s="49">
        <v>30</v>
      </c>
    </row>
    <row r="27" spans="1:18" x14ac:dyDescent="0.3">
      <c r="H27" s="48" t="s">
        <v>105</v>
      </c>
      <c r="I27" s="42">
        <v>28</v>
      </c>
      <c r="J27" s="42"/>
      <c r="K27" s="42"/>
      <c r="L27" s="42"/>
      <c r="M27" s="42"/>
      <c r="N27" s="42"/>
      <c r="O27" s="42"/>
      <c r="P27" s="42" t="s">
        <v>77</v>
      </c>
      <c r="Q27" s="49">
        <v>28</v>
      </c>
    </row>
    <row r="28" spans="1:18" x14ac:dyDescent="0.3">
      <c r="H28" s="48" t="s">
        <v>121</v>
      </c>
      <c r="I28" s="42">
        <v>28</v>
      </c>
      <c r="J28" s="42"/>
      <c r="K28" s="42"/>
      <c r="L28" s="42"/>
      <c r="M28" s="42"/>
      <c r="N28" s="42"/>
      <c r="O28" s="42"/>
      <c r="P28" s="42" t="s">
        <v>77</v>
      </c>
      <c r="Q28" s="49">
        <v>28</v>
      </c>
    </row>
    <row r="29" spans="1:18" x14ac:dyDescent="0.3">
      <c r="H29" s="48" t="s">
        <v>30</v>
      </c>
      <c r="I29" s="42">
        <v>25</v>
      </c>
      <c r="J29" s="43" t="s">
        <v>79</v>
      </c>
      <c r="K29" s="42">
        <v>25</v>
      </c>
      <c r="L29" s="42"/>
      <c r="M29" s="42"/>
      <c r="N29" s="42"/>
      <c r="O29" s="42"/>
      <c r="P29" s="42"/>
      <c r="Q29" s="49"/>
    </row>
    <row r="30" spans="1:18" x14ac:dyDescent="0.3">
      <c r="H30" s="48" t="s">
        <v>7</v>
      </c>
      <c r="I30" s="42">
        <v>28</v>
      </c>
      <c r="J30" s="42"/>
      <c r="K30" s="42"/>
      <c r="L30" s="42"/>
      <c r="M30" s="42"/>
      <c r="N30" s="42"/>
      <c r="O30" s="42"/>
      <c r="P30" s="42" t="s">
        <v>77</v>
      </c>
      <c r="Q30" s="49">
        <v>28</v>
      </c>
    </row>
    <row r="31" spans="1:18" x14ac:dyDescent="0.3">
      <c r="H31" s="48" t="s">
        <v>68</v>
      </c>
      <c r="I31" s="42">
        <v>30</v>
      </c>
      <c r="J31" s="42"/>
      <c r="K31" s="42"/>
      <c r="L31" s="42"/>
      <c r="M31" s="42"/>
      <c r="N31" s="42"/>
      <c r="O31" s="42"/>
      <c r="P31" s="42" t="s">
        <v>77</v>
      </c>
      <c r="Q31" s="49">
        <v>30</v>
      </c>
    </row>
    <row r="32" spans="1:18" x14ac:dyDescent="0.3">
      <c r="H32" s="48" t="s">
        <v>29</v>
      </c>
      <c r="I32" s="42">
        <v>30</v>
      </c>
      <c r="J32" s="42"/>
      <c r="K32" s="42"/>
      <c r="L32" s="42"/>
      <c r="M32" s="42"/>
      <c r="N32" s="42"/>
      <c r="O32" s="42"/>
      <c r="P32" s="42" t="s">
        <v>77</v>
      </c>
      <c r="Q32" s="49">
        <v>30</v>
      </c>
    </row>
    <row r="33" spans="8:17" x14ac:dyDescent="0.3">
      <c r="H33" s="48" t="s">
        <v>110</v>
      </c>
      <c r="I33" s="42">
        <v>29</v>
      </c>
      <c r="J33" s="42"/>
      <c r="K33" s="42"/>
      <c r="L33" s="42"/>
      <c r="M33" s="42"/>
      <c r="N33" s="42"/>
      <c r="O33" s="42"/>
      <c r="P33" s="42" t="s">
        <v>77</v>
      </c>
      <c r="Q33" s="49">
        <v>29</v>
      </c>
    </row>
    <row r="34" spans="8:17" x14ac:dyDescent="0.3">
      <c r="H34" s="48" t="s">
        <v>8</v>
      </c>
      <c r="I34" s="42">
        <v>30</v>
      </c>
      <c r="J34" s="42"/>
      <c r="K34" s="42"/>
      <c r="L34" s="42"/>
      <c r="M34" s="42"/>
      <c r="N34" s="42"/>
      <c r="O34" s="42"/>
      <c r="P34" s="42" t="s">
        <v>77</v>
      </c>
      <c r="Q34" s="49">
        <v>30</v>
      </c>
    </row>
    <row r="35" spans="8:17" x14ac:dyDescent="0.3">
      <c r="H35" s="48" t="s">
        <v>65</v>
      </c>
      <c r="I35" s="42">
        <v>30</v>
      </c>
      <c r="J35" s="42"/>
      <c r="K35" s="42"/>
      <c r="L35" s="42"/>
      <c r="M35" s="42"/>
      <c r="N35" s="42"/>
      <c r="O35" s="42"/>
      <c r="P35" s="42" t="s">
        <v>77</v>
      </c>
      <c r="Q35" s="49">
        <v>30</v>
      </c>
    </row>
    <row r="36" spans="8:17" x14ac:dyDescent="0.3">
      <c r="H36" s="48" t="s">
        <v>25</v>
      </c>
      <c r="I36" s="42">
        <v>19</v>
      </c>
      <c r="J36" s="44" t="s">
        <v>98</v>
      </c>
      <c r="K36" s="42">
        <v>19</v>
      </c>
      <c r="L36" s="42"/>
      <c r="M36" s="42"/>
      <c r="N36" s="42"/>
      <c r="O36" s="42"/>
      <c r="P36" s="42"/>
      <c r="Q36" s="49"/>
    </row>
    <row r="37" spans="8:17" x14ac:dyDescent="0.3">
      <c r="H37" s="48" t="s">
        <v>66</v>
      </c>
      <c r="I37" s="42">
        <v>27</v>
      </c>
      <c r="J37" s="43" t="s">
        <v>88</v>
      </c>
      <c r="K37" s="42">
        <v>14</v>
      </c>
      <c r="L37" s="43" t="s">
        <v>89</v>
      </c>
      <c r="M37" s="42">
        <v>13</v>
      </c>
      <c r="N37" s="42"/>
      <c r="O37" s="42"/>
      <c r="P37" s="42"/>
      <c r="Q37" s="49"/>
    </row>
    <row r="38" spans="8:17" x14ac:dyDescent="0.3">
      <c r="H38" s="48" t="s">
        <v>72</v>
      </c>
      <c r="I38" s="42">
        <v>29</v>
      </c>
      <c r="J38" s="42"/>
      <c r="K38" s="42"/>
      <c r="L38" s="42"/>
      <c r="M38" s="42"/>
      <c r="N38" s="42"/>
      <c r="O38" s="42"/>
      <c r="P38" s="42" t="s">
        <v>77</v>
      </c>
      <c r="Q38" s="49">
        <v>29</v>
      </c>
    </row>
    <row r="39" spans="8:17" x14ac:dyDescent="0.3">
      <c r="H39" s="48" t="s">
        <v>63</v>
      </c>
      <c r="I39" s="42">
        <v>16</v>
      </c>
      <c r="J39" s="43" t="s">
        <v>92</v>
      </c>
      <c r="K39" s="42">
        <v>16</v>
      </c>
      <c r="L39" s="42"/>
      <c r="M39" s="42"/>
      <c r="N39" s="42"/>
      <c r="O39" s="42"/>
      <c r="P39" s="42"/>
      <c r="Q39" s="49"/>
    </row>
    <row r="40" spans="8:17" x14ac:dyDescent="0.3">
      <c r="H40" s="48" t="s">
        <v>57</v>
      </c>
      <c r="I40" s="42">
        <v>20</v>
      </c>
      <c r="J40" s="43" t="s">
        <v>78</v>
      </c>
      <c r="K40" s="42">
        <v>20</v>
      </c>
      <c r="L40" s="42"/>
      <c r="M40" s="42"/>
      <c r="N40" s="42"/>
      <c r="O40" s="42"/>
      <c r="P40" s="42"/>
      <c r="Q40" s="49"/>
    </row>
    <row r="41" spans="8:17" x14ac:dyDescent="0.3">
      <c r="H41" s="48" t="s">
        <v>58</v>
      </c>
      <c r="I41" s="42">
        <v>27</v>
      </c>
      <c r="J41" s="42"/>
      <c r="K41" s="42"/>
      <c r="L41" s="42"/>
      <c r="M41" s="42"/>
      <c r="N41" s="42"/>
      <c r="O41" s="42"/>
      <c r="P41" s="42" t="s">
        <v>77</v>
      </c>
      <c r="Q41" s="49">
        <v>27</v>
      </c>
    </row>
    <row r="42" spans="8:17" x14ac:dyDescent="0.3">
      <c r="H42" s="48" t="s">
        <v>53</v>
      </c>
      <c r="I42" s="42">
        <v>30</v>
      </c>
      <c r="J42" s="42"/>
      <c r="K42" s="42"/>
      <c r="L42" s="42"/>
      <c r="M42" s="42"/>
      <c r="N42" s="42"/>
      <c r="O42" s="42"/>
      <c r="P42" s="42" t="s">
        <v>77</v>
      </c>
      <c r="Q42" s="49">
        <v>30</v>
      </c>
    </row>
    <row r="43" spans="8:17" x14ac:dyDescent="0.3">
      <c r="H43" s="48" t="s">
        <v>67</v>
      </c>
      <c r="I43" s="42">
        <v>29</v>
      </c>
      <c r="J43" s="42"/>
      <c r="K43" s="42"/>
      <c r="L43" s="42"/>
      <c r="M43" s="42"/>
      <c r="N43" s="42"/>
      <c r="O43" s="42"/>
      <c r="P43" s="42" t="s">
        <v>77</v>
      </c>
      <c r="Q43" s="49">
        <v>29</v>
      </c>
    </row>
    <row r="44" spans="8:17" x14ac:dyDescent="0.3">
      <c r="H44" s="48" t="s">
        <v>59</v>
      </c>
      <c r="I44" s="42">
        <v>30</v>
      </c>
      <c r="J44" s="42"/>
      <c r="K44" s="42"/>
      <c r="L44" s="42"/>
      <c r="M44" s="42"/>
      <c r="N44" s="42"/>
      <c r="O44" s="42"/>
      <c r="P44" s="42" t="s">
        <v>77</v>
      </c>
      <c r="Q44" s="49">
        <v>30</v>
      </c>
    </row>
    <row r="45" spans="8:17" x14ac:dyDescent="0.3">
      <c r="H45" s="48" t="s">
        <v>9</v>
      </c>
      <c r="I45" s="42">
        <v>28</v>
      </c>
      <c r="J45" s="42"/>
      <c r="K45" s="42"/>
      <c r="L45" s="42"/>
      <c r="M45" s="42"/>
      <c r="N45" s="42"/>
      <c r="O45" s="42"/>
      <c r="P45" s="42" t="s">
        <v>77</v>
      </c>
      <c r="Q45" s="49">
        <v>28</v>
      </c>
    </row>
    <row r="46" spans="8:17" x14ac:dyDescent="0.3">
      <c r="H46" s="48" t="s">
        <v>10</v>
      </c>
      <c r="I46" s="42">
        <v>27</v>
      </c>
      <c r="J46" s="44" t="s">
        <v>94</v>
      </c>
      <c r="K46" s="42">
        <v>27</v>
      </c>
      <c r="L46" s="42"/>
      <c r="M46" s="42"/>
      <c r="N46" s="42"/>
      <c r="O46" s="42"/>
      <c r="P46" s="42"/>
      <c r="Q46" s="49"/>
    </row>
    <row r="47" spans="8:17" x14ac:dyDescent="0.3">
      <c r="H47" s="48" t="s">
        <v>106</v>
      </c>
      <c r="I47" s="42">
        <v>28</v>
      </c>
      <c r="J47" s="42"/>
      <c r="K47" s="42"/>
      <c r="L47" s="42"/>
      <c r="M47" s="42"/>
      <c r="N47" s="42"/>
      <c r="O47" s="42"/>
      <c r="P47" s="42" t="s">
        <v>77</v>
      </c>
      <c r="Q47" s="49">
        <v>28</v>
      </c>
    </row>
    <row r="48" spans="8:17" x14ac:dyDescent="0.3">
      <c r="H48" s="48" t="s">
        <v>60</v>
      </c>
      <c r="I48" s="42">
        <v>27</v>
      </c>
      <c r="J48" s="44" t="s">
        <v>94</v>
      </c>
      <c r="K48" s="42">
        <v>27</v>
      </c>
      <c r="L48" s="42"/>
      <c r="M48" s="42"/>
      <c r="N48" s="42"/>
      <c r="O48" s="42"/>
      <c r="P48" s="42"/>
      <c r="Q48" s="49"/>
    </row>
    <row r="49" spans="8:17" x14ac:dyDescent="0.3">
      <c r="H49" s="48" t="s">
        <v>54</v>
      </c>
      <c r="I49" s="42">
        <v>22</v>
      </c>
      <c r="J49" s="42" t="s">
        <v>77</v>
      </c>
      <c r="K49" s="42">
        <v>22</v>
      </c>
      <c r="L49" s="42"/>
      <c r="M49" s="42"/>
      <c r="N49" s="42"/>
      <c r="O49" s="42"/>
      <c r="P49" s="42"/>
      <c r="Q49" s="49"/>
    </row>
    <row r="50" spans="8:17" x14ac:dyDescent="0.3">
      <c r="H50" s="48" t="s">
        <v>24</v>
      </c>
      <c r="I50" s="42">
        <v>31</v>
      </c>
      <c r="J50" s="42"/>
      <c r="K50" s="42"/>
      <c r="L50" s="42"/>
      <c r="M50" s="42"/>
      <c r="N50" s="42"/>
      <c r="O50" s="42"/>
      <c r="P50" s="42" t="s">
        <v>77</v>
      </c>
      <c r="Q50" s="49">
        <v>31</v>
      </c>
    </row>
    <row r="51" spans="8:17" x14ac:dyDescent="0.3">
      <c r="H51" s="48" t="s">
        <v>111</v>
      </c>
      <c r="I51" s="42">
        <v>26</v>
      </c>
      <c r="J51" s="44" t="s">
        <v>96</v>
      </c>
      <c r="K51" s="42">
        <v>26</v>
      </c>
      <c r="L51" s="42"/>
      <c r="M51" s="42"/>
      <c r="N51" s="42"/>
      <c r="O51" s="42"/>
      <c r="P51" s="42"/>
      <c r="Q51" s="49"/>
    </row>
    <row r="52" spans="8:17" x14ac:dyDescent="0.3">
      <c r="H52" s="48" t="s">
        <v>112</v>
      </c>
      <c r="I52" s="42">
        <v>26</v>
      </c>
      <c r="J52" s="44" t="s">
        <v>96</v>
      </c>
      <c r="K52" s="42">
        <v>26</v>
      </c>
      <c r="L52" s="42"/>
      <c r="M52" s="42"/>
      <c r="N52" s="42"/>
      <c r="O52" s="42"/>
      <c r="P52" s="42"/>
      <c r="Q52" s="49"/>
    </row>
    <row r="53" spans="8:17" x14ac:dyDescent="0.3">
      <c r="H53" s="48" t="s">
        <v>113</v>
      </c>
      <c r="I53" s="42">
        <v>24</v>
      </c>
      <c r="J53" s="43" t="s">
        <v>80</v>
      </c>
      <c r="K53" s="42">
        <v>12</v>
      </c>
      <c r="L53" s="43" t="s">
        <v>81</v>
      </c>
      <c r="M53" s="42">
        <v>12</v>
      </c>
      <c r="N53" s="42"/>
      <c r="O53" s="42"/>
      <c r="P53" s="42"/>
      <c r="Q53" s="49"/>
    </row>
    <row r="54" spans="8:17" x14ac:dyDescent="0.3">
      <c r="H54" s="48" t="s">
        <v>114</v>
      </c>
      <c r="I54" s="42">
        <v>24</v>
      </c>
      <c r="J54" s="43" t="s">
        <v>84</v>
      </c>
      <c r="K54" s="42">
        <v>19</v>
      </c>
      <c r="L54" s="44" t="s">
        <v>94</v>
      </c>
      <c r="M54" s="42">
        <v>5</v>
      </c>
      <c r="N54" s="42"/>
      <c r="O54" s="42"/>
      <c r="P54" s="42"/>
      <c r="Q54" s="49"/>
    </row>
    <row r="55" spans="8:17" ht="15.6" thickBot="1" x14ac:dyDescent="0.35">
      <c r="H55" s="50" t="s">
        <v>115</v>
      </c>
      <c r="I55" s="51">
        <v>24</v>
      </c>
      <c r="J55" s="52" t="s">
        <v>90</v>
      </c>
      <c r="K55" s="51">
        <v>16</v>
      </c>
      <c r="L55" s="53" t="s">
        <v>94</v>
      </c>
      <c r="M55" s="51">
        <v>8</v>
      </c>
      <c r="N55" s="51"/>
      <c r="O55" s="51"/>
      <c r="P55" s="51"/>
      <c r="Q55" s="54"/>
    </row>
  </sheetData>
  <mergeCells count="3">
    <mergeCell ref="A1:E1"/>
    <mergeCell ref="A26:E26"/>
    <mergeCell ref="J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Attendance</vt:lpstr>
      <vt:lpstr>Pay</vt:lpstr>
      <vt:lpstr>Time Sheet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</dc:creator>
  <cp:lastModifiedBy>26109 CHOPADE ANAND GANESH</cp:lastModifiedBy>
  <cp:lastPrinted>2024-02-06T05:49:50Z</cp:lastPrinted>
  <dcterms:created xsi:type="dcterms:W3CDTF">2021-07-01T07:01:01Z</dcterms:created>
  <dcterms:modified xsi:type="dcterms:W3CDTF">2026-04-02T18:48:46Z</dcterms:modified>
</cp:coreProperties>
</file>